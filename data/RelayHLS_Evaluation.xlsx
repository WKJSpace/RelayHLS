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e4150dcb0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2a1faa14bc4594"/>
    <x:sheet xmlns:r="http://schemas.openxmlformats.org/officeDocument/2006/relationships" name="CV Matrix" sheetId="2" r:id="Rc2f88211e528492e"/>
    <x:sheet xmlns:r="http://schemas.openxmlformats.org/officeDocument/2006/relationships" name="FPGA Variants" sheetId="3" r:id="Rf2a9fda48b8c4b22"/>
    <x:sheet xmlns:r="http://schemas.openxmlformats.org/officeDocument/2006/relationships" name="CPU GPU Timing" sheetId="4" r:id="R2479f69a6fae49ed"/>
    <x:sheet xmlns:r="http://schemas.openxmlformats.org/officeDocument/2006/relationships" name="Energy" sheetId="5" r:id="R940b6e1a0f444f03"/>
    <x:sheet xmlns:r="http://schemas.openxmlformats.org/officeDocument/2006/relationships" name="HLS Schedules" sheetId="6" r:id="R2a26af4d6c324ae1"/>
    <x:sheet xmlns:r="http://schemas.openxmlformats.org/officeDocument/2006/relationships" name="Per Input Timing" sheetId="7" r:id="R86c1f75435f44625"/>
    <x:sheet xmlns:r="http://schemas.openxmlformats.org/officeDocument/2006/relationships" name="Definitions and Sources" sheetId="8" r:id="R525419572fb8463d"/>
    <x:sheet xmlns:r="http://schemas.openxmlformats.org/officeDocument/2006/relationships" name="Resource Utilization" sheetId="9" r:id="R7554eedfc72b4aa7"/>
    <x:sheet xmlns:r="http://schemas.openxmlformats.org/officeDocument/2006/relationships" name="BB144 FPGA" sheetId="10" r:id="R75b4a46a05a3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"/>
    <x:numFmt numFmtId="201" formatCode="#,##0"/>
    <x:numFmt numFmtId="202" formatCode="0.000"/>
    <x:numFmt numFmtId="203" formatCode="0"/>
  </x:numFmts>
  <x:fonts count="9">
    <x:font>
      <x:sz val="11"/>
      <x:name val="Carlito"/>
    </x:font>
    <x:font>
      <x:b/>
      <x:sz val="14"/>
      <x:color rgb="FF243C5A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b/>
      <x:sz val="10"/>
      <x:name val="Arial"/>
    </x:font>
    <x:font>
      <x:b/>
      <x:sz val="12"/>
      <x:color rgb="FF243C5A"/>
      <x:name val="Arial"/>
    </x:font>
    <x:font>
      <x:sz val="10"/>
      <x:color rgb="FF172B45"/>
      <x:name val="Arial"/>
    </x:font>
    <x:font>
      <x:b/>
      <x:sz val="10"/>
      <x:color rgb="FF172B45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243C5A"/>
      </x:patternFill>
    </x:fill>
    <x:fill>
      <x:patternFill patternType="solid">
        <x:fgColor rgb="FFF0F4F8"/>
      </x:patternFill>
    </x:fill>
    <x:fill>
      <x:patternFill patternType="solid">
        <x:fgColor rgb="FFE4EAF1"/>
      </x:patternFill>
    </x:fill>
    <x:fill>
      <x:patternFill patternType="solid">
        <x:fgColor rgb="FF243C5A"/>
      </x:patternFill>
    </x:fill>
    <x:fill>
      <x:patternFill patternType="solid">
        <x:fgColor rgb="FFEFF4F9"/>
      </x:patternFill>
    </x:fill>
    <x:fill>
      <x:patternFill patternType="solid">
        <x:fgColor rgb="FF243C5A"/>
      </x:patternFill>
    </x:fill>
    <x:fill>
      <x:patternFill patternType="solid">
        <x:fgColor rgb="FFEFF4F9"/>
      </x:patternFill>
    </x:fill>
    <x:fill>
      <x:patternFill patternType="solid">
        <x:fgColor rgb="FF243C5A"/>
      </x:patternFill>
    </x:fill>
    <x:fill>
      <x:patternFill patternType="solid">
        <x:fgColor rgb="FFEFF4F9"/>
      </x:patternFill>
    </x:fill>
    <x:fill>
      <x:patternFill patternType="solid">
        <x:fgColor rgb="FFFFFFFF"/>
      </x:patternFill>
    </x:fill>
    <x:fill>
      <x:patternFill patternType="solid">
        <x:fgColor rgb="FF243C5A"/>
      </x:patternFill>
    </x:fill>
    <x:fill>
      <x:patternFill patternType="solid">
        <x:fgColor rgb="FFEFF4F9"/>
      </x:patternFill>
    </x:fill>
    <x:fill>
      <x:patternFill patternType="solid">
        <x:fgColor rgb="FFFFFFFF"/>
      </x:patternFill>
    </x:fill>
    <x:fill>
      <x:patternFill patternType="solid">
        <x:fgColor rgb="FF243C5A"/>
      </x:patternFill>
    </x:fill>
    <x:fill>
      <x:patternFill patternType="solid">
        <x:fgColor rgb="FFEFF4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200" fontId="2" fillId="3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horizontal="right" vertical="center"/>
    </x:xf>
    <x:xf numFmtId="201" fontId="2" fillId="3" borderId="0" xfId="0" applyNumberFormat="1" applyFont="1" applyFill="1" applyBorder="1" applyAlignment="1">
      <x:alignment horizontal="right" vertical="center"/>
    </x:xf>
    <x:xf numFmtId="202" fontId="2" fillId="3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2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/>
    </x:xf>
    <x:xf numFmtId="200" fontId="7" fillId="6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6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1" fontId="7" fillId="6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200" fontId="7" fillId="6" borderId="0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vertical="center"/>
    </x:xf>
    <x:xf numFmtId="201" fontId="7" fillId="8" borderId="0" xfId="0" applyNumberFormat="1" applyFont="1" applyFill="1" applyBorder="1" applyAlignment="1">
      <x:alignment horizontal="right" vertical="center"/>
    </x:xf>
    <x:xf numFmtId="200" fontId="7" fillId="8" borderId="0" xfId="0" applyNumberFormat="1" applyFont="1" applyFill="1" applyBorder="1" applyAlignment="1">
      <x:alignment horizontal="right" vertical="center"/>
    </x:xf>
    <x:xf numFmtId="200" fontId="7" fillId="8" borderId="0" xfId="0" applyNumberFormat="1" applyFont="1" applyFill="1" applyBorder="1" applyAlignment="1">
      <x:alignment vertical="center"/>
    </x:xf>
    <x:xf numFmtId="201" fontId="7" fillId="8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201" fontId="7" fillId="10" borderId="0" xfId="0" applyNumberFormat="1" applyFont="1" applyFill="1" applyBorder="1" applyAlignment="1">
      <x:alignment horizontal="right" vertical="center"/>
    </x:xf>
    <x:xf numFmtId="200" fontId="7" fillId="10" borderId="0" xfId="0" applyNumberFormat="1" applyFont="1" applyFill="1" applyBorder="1" applyAlignment="1">
      <x:alignment horizontal="right" vertical="center"/>
    </x:xf>
    <x:xf numFmtId="200" fontId="7" fillId="10" borderId="0" xfId="0" applyNumberFormat="1" applyFont="1" applyFill="1" applyBorder="1" applyAlignment="1">
      <x:alignment vertical="center"/>
    </x:xf>
    <x:xf numFmtId="201" fontId="7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horizontal="center" vertical="center" wrapText="1"/>
    </x:xf>
    <x:xf numFmtId="203" fontId="7" fillId="11" borderId="0" xfId="0" applyNumberFormat="1" applyFont="1" applyFill="1" applyBorder="1" applyAlignment="1">
      <x:alignment horizontal="right" vertical="center"/>
    </x:xf>
    <x:xf numFmtId="200" fontId="7" fillId="11" borderId="0" xfId="0" applyNumberFormat="1" applyFont="1" applyFill="1" applyBorder="1" applyAlignment="1">
      <x:alignment horizontal="right" vertical="center"/>
    </x:xf>
    <x:xf numFmtId="0" fontId="3" fillId="11" borderId="0" xfId="0" applyNumberFormat="1" applyFont="1" applyFill="1" applyBorder="1" applyAlignment="1">
      <x:alignment horizontal="center" vertical="center"/>
    </x:xf>
    <x:xf numFmtId="201" fontId="7" fillId="11" borderId="0" xfId="0" applyNumberFormat="1" applyFont="1" applyFill="1" applyBorder="1" applyAlignment="1">
      <x:alignment horizontal="right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/>
    <x:xf numFmtId="200" fontId="7" fillId="11" borderId="0" xfId="0" applyNumberFormat="1" applyFont="1" applyFill="1" applyBorder="1" applyAlignment="1">
      <x:alignment vertical="center"/>
    </x:xf>
    <x:xf numFmtId="201" fontId="7" fillId="11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vertical="center"/>
    </x:xf>
    <x:xf numFmtId="201" fontId="7" fillId="12" borderId="0" xfId="0" applyNumberFormat="1" applyFont="1" applyFill="1" applyBorder="1" applyAlignment="1">
      <x:alignment horizontal="right" vertical="center"/>
    </x:xf>
    <x:xf numFmtId="0" fontId="3" fillId="12" borderId="0" xfId="0" applyNumberFormat="1" applyFont="1" applyFill="1" applyBorder="1" applyAlignment="1">
      <x:alignment vertical="center"/>
    </x:xf>
    <x:xf numFmtId="201" fontId="3" fillId="12" borderId="0" xfId="0" applyNumberFormat="1" applyFont="1" applyFill="1" applyBorder="1" applyAlignment="1">
      <x:alignment horizontal="right" vertical="center"/>
    </x:xf>
    <x:xf numFmtId="0" fontId="3" fillId="12" borderId="0" xfId="0" applyNumberFormat="1" applyFont="1" applyFill="1" applyBorder="1" applyAlignment="1">
      <x:alignment vertical="center" wrapText="1"/>
    </x:xf>
    <x:xf numFmtId="201" fontId="3" fillId="12" borderId="0" xfId="0" applyNumberFormat="1" applyFont="1" applyFill="1" applyBorder="1" applyAlignment="1">
      <x:alignment horizontal="right" vertical="center" wrapText="1"/>
    </x:xf>
    <x:xf numFmtId="201" fontId="3" fillId="12" borderId="0" xfId="0" applyNumberFormat="1" applyFont="1" applyFill="1" applyBorder="1" applyAlignment="1">
      <x:alignment horizontal="center" vertical="center" wrapText="1"/>
    </x:xf>
    <x:xf numFmtId="203" fontId="7" fillId="11" borderId="0" xfId="0" applyNumberFormat="1" applyFont="1" applyFill="1" applyBorder="1" applyAlignment="1">
      <x:alignment vertical="center"/>
    </x:xf>
    <x:xf numFmtId="203" fontId="8" fillId="11" borderId="0" xfId="0" applyNumberFormat="1" applyFont="1" applyFill="1" applyBorder="1" applyAlignment="1">
      <x:alignment horizontal="center" vertical="center" wrapText="1"/>
    </x:xf>
    <x:xf numFmtId="200" fontId="8" fillId="11" borderId="0" xfId="0" applyNumberFormat="1" applyFont="1" applyFill="1" applyBorder="1" applyAlignment="1">
      <x:alignment horizontal="center" vertical="center"/>
    </x:xf>
    <x:xf numFmtId="203" fontId="8" fillId="11" borderId="0" xfId="0" applyNumberFormat="1" applyFont="1" applyFill="1" applyBorder="1" applyAlignment="1">
      <x:alignment horizontal="right" vertical="center" wrapText="1"/>
    </x:xf>
    <x:xf numFmtId="200" fontId="8" fillId="11" borderId="0" xfId="0" applyNumberFormat="1" applyFont="1" applyFill="1" applyBorder="1" applyAlignment="1">
      <x:alignment horizontal="right" vertical="center"/>
    </x:xf>
    <x:xf numFmtId="0" fontId="7" fillId="13" borderId="0" xfId="0" applyNumberFormat="1" applyFont="1" applyFill="1" applyBorder="1" applyAlignment="1">
      <x:alignment vertical="center"/>
    </x:xf>
    <x:xf numFmtId="201" fontId="7" fillId="13" borderId="0" xfId="0" applyNumberFormat="1" applyFont="1" applyFill="1" applyBorder="1" applyAlignment="1">
      <x:alignment horizontal="right" vertical="center"/>
    </x:xf>
    <x:xf numFmtId="200" fontId="7" fillId="13" borderId="0" xfId="0" applyNumberFormat="1" applyFont="1" applyFill="1" applyBorder="1" applyAlignment="1">
      <x:alignment horizontal="right" vertical="center"/>
    </x:xf>
    <x:xf numFmtId="0" fontId="1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/>
    </x:xf>
    <x:xf numFmtId="0" fontId="3" fillId="14" borderId="0" xfId="0" applyNumberFormat="1" applyFont="1" applyFill="1" applyBorder="1" applyAlignment="1">
      <x:alignment horizontal="center" vertical="center" wrapText="1"/>
    </x:xf>
    <x:xf numFmtId="203" fontId="7" fillId="14" borderId="0" xfId="0" applyNumberFormat="1" applyFont="1" applyFill="1" applyBorder="1" applyAlignment="1">
      <x:alignment horizontal="right" vertical="center"/>
    </x:xf>
    <x:xf numFmtId="200" fontId="7" fillId="14" borderId="0" xfId="0" applyNumberFormat="1" applyFont="1" applyFill="1" applyBorder="1" applyAlignment="1">
      <x:alignment horizontal="right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203" fontId="8" fillId="14" borderId="0" xfId="0" applyNumberFormat="1" applyFont="1" applyFill="1" applyBorder="1" applyAlignment="1">
      <x:alignment horizontal="right" vertical="center" wrapText="1"/>
    </x:xf>
    <x:xf numFmtId="200" fontId="8" fillId="14" borderId="0" xfId="0" applyNumberFormat="1" applyFont="1" applyFill="1" applyBorder="1" applyAlignment="1">
      <x:alignment horizontal="right" vertical="center"/>
    </x:xf>
    <x:xf numFmtId="201" fontId="3" fillId="14" borderId="0" xfId="0" applyNumberFormat="1" applyFont="1" applyFill="1" applyBorder="1" applyAlignment="1">
      <x:alignment horizontal="center" vertical="center" wrapText="1"/>
    </x:xf>
    <x:xf numFmtId="201" fontId="7" fillId="14" borderId="0" xfId="0" applyNumberFormat="1" applyFont="1" applyFill="1" applyBorder="1" applyAlignment="1">
      <x:alignment horizontal="right" vertical="center"/>
    </x:xf>
    <x:xf numFmtId="0" fontId="3" fillId="15" borderId="0" xfId="0" applyNumberFormat="1" applyFont="1" applyFill="1" applyBorder="1" applyAlignment="1">
      <x:alignment horizontal="center" vertical="center" wrapText="1"/>
    </x:xf>
    <x:xf numFmtId="201" fontId="3" fillId="15" borderId="0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 applyAlignment="1">
      <x:alignment vertical="center"/>
    </x:xf>
    <x:xf numFmtId="201" fontId="7" fillId="16" borderId="0" xfId="0" applyNumberFormat="1" applyFont="1" applyFill="1" applyBorder="1" applyAlignment="1">
      <x:alignment horizontal="right" vertical="center"/>
    </x:xf>
    <x:xf numFmtId="200" fontId="7" fillId="16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201" fontId="7" fillId="3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40c56a17645d5" /><Relationship Type="http://schemas.openxmlformats.org/officeDocument/2006/relationships/theme" Target="/xl/theme/theme1.xml" Id="Re8529017560e48fa" /><Relationship Type="http://schemas.openxmlformats.org/officeDocument/2006/relationships/sharedStrings" Target="/xl/sharedStrings.xml" Id="R1caaa34a7b774ce0" /><Relationship Type="http://schemas.openxmlformats.org/officeDocument/2006/relationships/worksheet" Target="/xl/worksheets/sheet1.xml" Id="R092a1faa14bc4594" /><Relationship Type="http://schemas.openxmlformats.org/officeDocument/2006/relationships/worksheet" Target="/xl/worksheets/sheet2.xml" Id="Rc2f88211e528492e" /><Relationship Type="http://schemas.openxmlformats.org/officeDocument/2006/relationships/worksheet" Target="/xl/worksheets/sheet3.xml" Id="Rf2a9fda48b8c4b22" /><Relationship Type="http://schemas.openxmlformats.org/officeDocument/2006/relationships/worksheet" Target="/xl/worksheets/sheet4.xml" Id="R2479f69a6fae49ed" /><Relationship Type="http://schemas.openxmlformats.org/officeDocument/2006/relationships/worksheet" Target="/xl/worksheets/sheet5.xml" Id="R940b6e1a0f444f03" /><Relationship Type="http://schemas.openxmlformats.org/officeDocument/2006/relationships/worksheet" Target="/xl/worksheets/sheet6.xml" Id="R2a26af4d6c324ae1" /><Relationship Type="http://schemas.openxmlformats.org/officeDocument/2006/relationships/worksheet" Target="/xl/worksheets/sheet7.xml" Id="R86c1f75435f44625" /><Relationship Type="http://schemas.openxmlformats.org/officeDocument/2006/relationships/worksheet" Target="/xl/worksheets/sheet8.xml" Id="R525419572fb8463d" /><Relationship Type="http://schemas.openxmlformats.org/officeDocument/2006/relationships/worksheet" Target="/xl/worksheets/sheet9.xml" Id="R7554eedfc72b4aa7" /><Relationship Type="http://schemas.openxmlformats.org/officeDocument/2006/relationships/worksheet" Target="/xl/worksheets/sheet10.xml" Id="R75b4a46a05a343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2.6700000762939453" hidden="0" customWidth="1"/>
    <x:col min="2" max="2" width="23.329999923706055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35.560001373291016" hidden="0" customWidth="1"/>
    <x:col min="10" max="10" width="35.560001373291016" hidden="0" customWidth="1"/>
    <x:col min="11" max="11" width="35.560001373291016" hidden="0" customWidth="1"/>
  </x:cols>
  <x:sheetData>
    <x:row r="2" ht="30" customHeight="1">
      <x:c r="B2" s="1" t="str">
        <x:v>RelayHLS BB72 evaluation</x:v>
      </x:c>
    </x:row>
    <x:row r="4" ht="48" customHeight="1">
      <x:c r="B4" s="7" t="str">
        <x:v>implementation</x:v>
      </x:c>
      <x:c r="C4" s="7" t="str">
        <x:v>latency us</x:v>
      </x:c>
      <x:c r="D4" s="7" t="str">
        <x:v>throughput frames s</x:v>
      </x:c>
      <x:c r="E4" s="7" t="str">
        <x:v>cycles mean</x:v>
      </x:c>
      <x:c r="F4" s="7" t="str">
        <x:v>power W</x:v>
      </x:c>
      <x:c r="G4" s="7" t="str">
        <x:v>energy uJ frame</x:v>
      </x:c>
      <x:c r="H4" s="7" t="str">
        <x:v>frames J</x:v>
      </x:c>
      <x:c r="I4" s="7" t="str">
        <x:v>evidence</x:v>
      </x:c>
      <x:c r="J4" s="7" t="str">
        <x:v>time kind</x:v>
      </x:c>
      <x:c r="K4" s="7" t="str">
        <x:v>throughput basis</x:v>
      </x:c>
    </x:row>
    <x:row r="5" ht="50" customHeight="1">
      <x:c r="B5" s="9" t="str">
        <x:v>CPU simd-1</x:v>
      </x:c>
      <x:c r="C5" s="11" t="n">
        <x:v>901.4773125</x:v>
      </x:c>
      <x:c r="D5" s="11" t="n">
        <x:v>1109.290257374059</x:v>
      </x:c>
      <x:c r="E5" s="11"/>
      <x:c r="F5" s="11"/>
      <x:c r="G5" s="11"/>
      <x:c r="H5" s="11"/>
      <x:c r="I5" s="9" t="str">
        <x:v>measured timing; package energy from separate matched windows below</x:v>
      </x:c>
      <x:c r="J5" s="9" t="str">
        <x:v>per-call latency from timing experiment</x:v>
      </x:c>
      <x:c r="K5" s="9" t="str">
        <x:v>reciprocal mean latency</x:v>
      </x:c>
    </x:row>
    <x:row r="6" ht="50" customHeight="1">
      <x:c r="B6" s="12" t="str">
        <x:v>GPU device</x:v>
      </x:c>
      <x:c r="C6" s="13" t="n">
        <x:v>255.37000261247158</x:v>
      </x:c>
      <x:c r="D6" s="13" t="n">
        <x:v>3915.8867124950357</x:v>
      </x:c>
      <x:c r="E6" s="13"/>
      <x:c r="F6" s="13"/>
      <x:c r="G6" s="13"/>
      <x:c r="H6" s="13"/>
      <x:c r="I6" s="12" t="str">
        <x:v>measured timing; energy from separate windows below</x:v>
      </x:c>
      <x:c r="J6" s="12" t="str">
        <x:v>per-call latency from timing experiment</x:v>
      </x:c>
      <x:c r="K6" s="12" t="str">
        <x:v>reciprocal mean latency</x:v>
      </x:c>
    </x:row>
    <x:row r="7" ht="50" customHeight="1">
      <x:c r="B7" s="9" t="str">
        <x:v>GPU with transfers</x:v>
      </x:c>
      <x:c r="C7" s="11" t="n">
        <x:v>295.82328125</x:v>
      </x:c>
      <x:c r="D7" s="11" t="n">
        <x:v>3380.396552206792</x:v>
      </x:c>
      <x:c r="E7" s="11"/>
      <x:c r="F7" s="11"/>
      <x:c r="G7" s="11"/>
      <x:c r="H7" s="11"/>
      <x:c r="I7" s="9" t="str">
        <x:v>measured timing; energy from separate windows below</x:v>
      </x:c>
      <x:c r="J7" s="9" t="str">
        <x:v>per-call latency from timing experiment</x:v>
      </x:c>
      <x:c r="K7" s="9" t="str">
        <x:v>reciprocal mean latency</x:v>
      </x:c>
    </x:row>
    <x:row r="8" ht="50" customHeight="1">
      <x:c r="B8" s="12" t="str">
        <x:v>CPU energy / simd-1</x:v>
      </x:c>
      <x:c r="C8" s="13"/>
      <x:c r="D8" s="13" t="n">
        <x:v>1110.279388100508</x:v>
      </x:c>
      <x:c r="E8" s="13"/>
      <x:c r="F8" s="13" t="n">
        <x:v>235.52205736808685</x:v>
      </x:c>
      <x:c r="G8" s="13" t="n">
        <x:v>212128.64067577035</x:v>
      </x:c>
      <x:c r="H8" s="13" t="n">
        <x:v>4.714120624232244</x:v>
      </x:c>
      <x:c r="I8" s="12" t="str">
        <x:v>measured sum of CPU package counters; shared host</x:v>
      </x:c>
      <x:c r="J8" s="12" t="str">
        <x:v>energy window interval 900.674 us/frame; not isolated latency</x:v>
      </x:c>
      <x:c r="K8" s="12" t="str">
        <x:v>frames / energy-window duration</x:v>
      </x:c>
    </x:row>
    <x:row r="9" ht="50" customHeight="1">
      <x:c r="B9" s="9" t="str">
        <x:v>GPU energy / resident</x:v>
      </x:c>
      <x:c r="C9" s="11"/>
      <x:c r="D9" s="11" t="n">
        <x:v>4040.2637497150326</x:v>
      </x:c>
      <x:c r="E9" s="11"/>
      <x:c r="F9" s="11" t="n">
        <x:v>99.86605540294245</x:v>
      </x:c>
      <x:c r="G9" s="11" t="n">
        <x:v>24717.706959102903</x:v>
      </x:c>
      <x:c r="H9" s="11" t="n">
        <x:v>40.456827231367654</x:v>
      </x:c>
      <x:c r="I9" s="9" t="str">
        <x:v>measured GPU device energy; shared host</x:v>
      </x:c>
      <x:c r="J9" s="9" t="str">
        <x:v>energy window interval 247.509 us/frame; not isolated latency</x:v>
      </x:c>
      <x:c r="K9" s="9" t="str">
        <x:v>frames / energy-window duration</x:v>
      </x:c>
    </x:row>
    <x:row r="10" ht="50" customHeight="1">
      <x:c r="B10" s="12" t="str">
        <x:v>GPU energy / host_transfer</x:v>
      </x:c>
      <x:c r="C10" s="13"/>
      <x:c r="D10" s="13" t="n">
        <x:v>3719.556349790461</x:v>
      </x:c>
      <x:c r="E10" s="13"/>
      <x:c r="F10" s="13" t="n">
        <x:v>100.28673958513926</x:v>
      </x:c>
      <x:c r="G10" s="13" t="n">
        <x:v>26962.016475644697</x:v>
      </x:c>
      <x:c r="H10" s="13" t="n">
        <x:v>37.08921403943651</x:v>
      </x:c>
      <x:c r="I10" s="12" t="str">
        <x:v>measured GPU device energy; shared host</x:v>
      </x:c>
      <x:c r="J10" s="12" t="str">
        <x:v>energy window interval 268.849 us/frame; not isolated latency</x:v>
      </x:c>
      <x:c r="K10" s="12" t="str">
        <x:v>frames / energy-window duration</x:v>
      </x:c>
    </x:row>
    <x:row r="11" ht="50" customHeight="1">
      <x:c r="B11" s="9" t="str">
        <x:v>FPGA C4V8 b128</x:v>
      </x:c>
      <x:c r="C11" s="11" t="n">
        <x:v>220.6478125</x:v>
      </x:c>
      <x:c r="D11" s="11" t="n">
        <x:v>4512.576258899601</x:v>
      </x:c>
      <x:c r="E11" s="11" t="n">
        <x:v>22064.78125</x:v>
      </x:c>
      <x:c r="F11" s="11" t="n">
        <x:v>4.741</x:v>
      </x:c>
      <x:c r="G11" s="11" t="n">
        <x:v>1050.619364193548</x:v>
      </x:c>
      <x:c r="H11" s="11" t="n">
        <x:v>951.8195019826201</x:v>
      </x:c>
      <x:c r="I11" s="9" t="str">
        <x:v>RTL/routed timing; estimated on-chip vectorless power/energy</x:v>
      </x:c>
      <x:c r="J11" s="9" t="str">
        <x:v>32-input RTL transaction latency at routed 100 MHz</x:v>
      </x:c>
      <x:c r="K11" s="9" t="str">
        <x:v>31 RTL start-to-start service intervals</x:v>
      </x:c>
    </x:row>
    <x:row r="13">
      <x:c r="B13" t="str">
        <x:v>CPU/GPU energy measured at package/device counters. FPGA energy is a vectorless on-chip estimate.</x:v>
      </x:c>
    </x:row>
    <x:row r="14">
      <x:c r="B14" t="str">
        <x:v>GPU timing and energy-window experiments have distinct boundaries; see the time and throughput basis columns.</x:v>
      </x:c>
    </x:row>
    <x:row r="15">
      <x:c r="B15" t="str">
        <x:v>Matrix: C1/C2/C4 x V2/V4/V8. All nine points validated at 100 MHz.</x:v>
      </x:c>
    </x:row>
    <x:row r="18">
      <x:c r="B18" s="23" t="str">
        <x:v>Mean RTL latency (us)</x:v>
      </x:c>
      <x:c r="C18" s="23" t="n">
        <x:v>2</x:v>
      </x:c>
      <x:c r="D18" s="23" t="n">
        <x:v>4</x:v>
      </x:c>
      <x:c r="E18" s="23" t="n">
        <x:v>8</x:v>
      </x:c>
    </x:row>
    <x:row r="19">
      <x:c r="B19" t="str">
        <x:v>C1</x:v>
      </x:c>
      <x:c r="C19" s="24" t="n">
        <x:f>IF('CV Matrix'!G5="","",'CV Matrix'!G5)</x:f>
        <x:v>505.6309375</x:v>
      </x:c>
      <x:c r="D19" s="24" t="n">
        <x:f>IF('CV Matrix'!G6="","",'CV Matrix'!G6)</x:f>
        <x:v>348.4809375</x:v>
      </x:c>
      <x:c r="E19" s="24" t="n">
        <x:f>IF('CV Matrix'!G7="","",'CV Matrix'!G7)</x:f>
        <x:v>269.9059375</x:v>
      </x:c>
    </x:row>
    <x:row r="20">
      <x:c r="B20" t="str">
        <x:v>C2</x:v>
      </x:c>
      <x:c r="C20" s="24" t="n">
        <x:f>IF('CV Matrix'!G8="","",'CV Matrix'!G8)</x:f>
        <x:v>472.7921875</x:v>
      </x:c>
      <x:c r="D20" s="24" t="n">
        <x:f>IF('CV Matrix'!G9="","",'CV Matrix'!G9)</x:f>
        <x:v>315.6421875</x:v>
      </x:c>
      <x:c r="E20" s="24" t="n">
        <x:f>IF('CV Matrix'!G10="","",'CV Matrix'!G10)</x:f>
        <x:v>237.0671875</x:v>
      </x:c>
    </x:row>
    <x:row r="21">
      <x:c r="B21" t="str">
        <x:v>C4</x:v>
      </x:c>
      <x:c r="C21" s="24" t="n">
        <x:f>IF('CV Matrix'!G11="","",'CV Matrix'!G11)</x:f>
        <x:v>456.3728125</x:v>
      </x:c>
      <x:c r="D21" s="24" t="n">
        <x:f>IF('CV Matrix'!G12="","",'CV Matrix'!G12)</x:f>
        <x:v>299.2228125</x:v>
      </x:c>
      <x:c r="E21" s="24" t="n">
        <x:f>IF('CV Matrix'!G13="","",'CV Matrix'!G13)</x:f>
        <x:v>220.6478125</x:v>
      </x:c>
    </x:row>
    <x:row r="24">
      <x:c r="B24" s="25" t="str">
        <x:v>VCU118 resource utilization: available latest-design results</x:v>
      </x:c>
    </x:row>
    <x:row r="25" ht="48" customHeight="1">
      <x:c r="B25" s="7" t="str">
        <x:v>point</x:v>
      </x:c>
      <x:c r="C25" s="7" t="str">
        <x:v>banks</x:v>
      </x:c>
      <x:c r="D25" s="7" t="str">
        <x:v>LUT used</x:v>
      </x:c>
      <x:c r="E25" s="7" t="str">
        <x:v>LUT (%)</x:v>
      </x:c>
      <x:c r="F25" s="7" t="str">
        <x:v>FF used</x:v>
      </x:c>
      <x:c r="G25" s="7" t="str">
        <x:v>FF (%)</x:v>
      </x:c>
      <x:c r="H25" s="7" t="str">
        <x:v>BRAM18 equiv. used</x:v>
      </x:c>
      <x:c r="I25" s="7" t="str">
        <x:v>BRAM (%)</x:v>
      </x:c>
      <x:c r="J25" s="7" t="str">
        <x:v>DSP used</x:v>
      </x:c>
      <x:c r="K25" s="7" t="str">
        <x:v>DSP (%)</x:v>
      </x:c>
    </x:row>
    <x:row r="26" ht="30" customHeight="1">
      <x:c r="B26" s="9" t="str">
        <x:v>C1V2</x:v>
      </x:c>
      <x:c r="C26" s="15" t="n">
        <x:v>64</x:v>
      </x:c>
      <x:c r="D26" s="15" t="n">
        <x:f>IF('CV Matrix'!J5="","",'CV Matrix'!J5)</x:f>
        <x:v>54933</x:v>
      </x:c>
      <x:c r="E26" s="17" t="n">
        <x:f>IF('CV Matrix'!K5="","",'CV Matrix'!K5)</x:f>
        <x:v>4.646518473406415</x:v>
      </x:c>
      <x:c r="F26" s="15" t="n">
        <x:f>IF('CV Matrix'!L5="","",'CV Matrix'!L5)</x:f>
        <x:v>42128</x:v>
      </x:c>
      <x:c r="G26" s="17" t="n">
        <x:f>IF('CV Matrix'!M5="","",'CV Matrix'!M5)</x:f>
        <x:v>1.7817025307890106</x:v>
      </x:c>
      <x:c r="H26" s="15" t="n">
        <x:f>IF('CV Matrix'!N5="","",'CV Matrix'!N5)</x:f>
        <x:v>1445</x:v>
      </x:c>
      <x:c r="I26" s="17" t="n">
        <x:f>IF('CV Matrix'!O5="","",'CV Matrix'!O5)</x:f>
        <x:v>33.449074074074076</x:v>
      </x:c>
      <x:c r="J26" s="15" t="n">
        <x:f>IF('CV Matrix'!P5="","",'CV Matrix'!P5)</x:f>
        <x:v>1</x:v>
      </x:c>
      <x:c r="K26" s="17" t="n">
        <x:f>IF('CV Matrix'!Q5="","",'CV Matrix'!Q5)</x:f>
        <x:v>0.014619883040935673</x:v>
      </x:c>
    </x:row>
    <x:row r="27" ht="30" customHeight="1">
      <x:c r="B27" s="12" t="str">
        <x:v>C1V4</x:v>
      </x:c>
      <x:c r="C27" s="18" t="n">
        <x:v>64</x:v>
      </x:c>
      <x:c r="D27" s="18" t="n">
        <x:f>IF('CV Matrix'!J6="","",'CV Matrix'!J6)</x:f>
        <x:v>95866</x:v>
      </x:c>
      <x:c r="E27" s="19" t="n">
        <x:f>IF('CV Matrix'!K6="","",'CV Matrix'!K6)</x:f>
        <x:v>8.108844227906348</x:v>
      </x:c>
      <x:c r="F27" s="18" t="n">
        <x:f>IF('CV Matrix'!L6="","",'CV Matrix'!L6)</x:f>
        <x:v>47732</x:v>
      </x:c>
      <x:c r="G27" s="19" t="n">
        <x:f>IF('CV Matrix'!M6="","",'CV Matrix'!M6)</x:f>
        <x:v>2.018710244958722</x:v>
      </x:c>
      <x:c r="H27" s="18" t="n">
        <x:f>IF('CV Matrix'!N6="","",'CV Matrix'!N6)</x:f>
        <x:v>601</x:v>
      </x:c>
      <x:c r="I27" s="19" t="n">
        <x:f>IF('CV Matrix'!O6="","",'CV Matrix'!O6)</x:f>
        <x:v>13.912037037037036</x:v>
      </x:c>
      <x:c r="J27" s="18" t="n">
        <x:f>IF('CV Matrix'!P6="","",'CV Matrix'!P6)</x:f>
        <x:v>1</x:v>
      </x:c>
      <x:c r="K27" s="19" t="n">
        <x:f>IF('CV Matrix'!Q6="","",'CV Matrix'!Q6)</x:f>
        <x:v>0.014619883040935673</x:v>
      </x:c>
    </x:row>
    <x:row r="28" ht="30" customHeight="1">
      <x:c r="B28" s="9" t="str">
        <x:v>C1V8</x:v>
      </x:c>
      <x:c r="C28" s="15" t="n">
        <x:v>64</x:v>
      </x:c>
      <x:c r="D28" s="15" t="n">
        <x:f>IF('CV Matrix'!J7="","",'CV Matrix'!J7)</x:f>
        <x:v>97810</x:v>
      </x:c>
      <x:c r="E28" s="17" t="n">
        <x:f>IF('CV Matrix'!K7="","",'CV Matrix'!K7)</x:f>
        <x:v>8.273277845445934</x:v>
      </x:c>
      <x:c r="F28" s="15" t="n">
        <x:f>IF('CV Matrix'!L7="","",'CV Matrix'!L7)</x:f>
        <x:v>48216</x:v>
      </x:c>
      <x:c r="G28" s="17" t="n">
        <x:f>IF('CV Matrix'!M7="","",'CV Matrix'!M7)</x:f>
        <x:v>2.039179861956963</x:v>
      </x:c>
      <x:c r="H28" s="15" t="n">
        <x:f>IF('CV Matrix'!N7="","",'CV Matrix'!N7)</x:f>
        <x:v>609</x:v>
      </x:c>
      <x:c r="I28" s="17" t="n">
        <x:f>IF('CV Matrix'!O7="","",'CV Matrix'!O7)</x:f>
        <x:v>14.097222222222221</x:v>
      </x:c>
      <x:c r="J28" s="15" t="n">
        <x:f>IF('CV Matrix'!P7="","",'CV Matrix'!P7)</x:f>
        <x:v>1</x:v>
      </x:c>
      <x:c r="K28" s="17" t="n">
        <x:f>IF('CV Matrix'!Q7="","",'CV Matrix'!Q7)</x:f>
        <x:v>0.014619883040935673</x:v>
      </x:c>
    </x:row>
    <x:row r="29" ht="30" customHeight="1">
      <x:c r="B29" s="12" t="str">
        <x:v>C2V2</x:v>
      </x:c>
      <x:c r="C29" s="18" t="n">
        <x:v>64</x:v>
      </x:c>
      <x:c r="D29" s="18" t="n">
        <x:f>IF('CV Matrix'!J8="","",'CV Matrix'!J8)</x:f>
        <x:v>64298</x:v>
      </x:c>
      <x:c r="E29" s="19" t="n">
        <x:f>IF('CV Matrix'!K8="","",'CV Matrix'!K8)</x:f>
        <x:v>5.438658817160644</x:v>
      </x:c>
      <x:c r="F29" s="18" t="n">
        <x:f>IF('CV Matrix'!L8="","",'CV Matrix'!L8)</x:f>
        <x:v>44253</x:v>
      </x:c>
      <x:c r="G29" s="19" t="n">
        <x:f>IF('CV Matrix'!M8="","",'CV Matrix'!M8)</x:f>
        <x:v>1.8715742996345919</x:v>
      </x:c>
      <x:c r="H29" s="18" t="n">
        <x:f>IF('CV Matrix'!N8="","",'CV Matrix'!N8)</x:f>
        <x:v>1472</x:v>
      </x:c>
      <x:c r="I29" s="19" t="n">
        <x:f>IF('CV Matrix'!O8="","",'CV Matrix'!O8)</x:f>
        <x:v>34.074074074074076</x:v>
      </x:c>
      <x:c r="J29" s="18" t="n">
        <x:f>IF('CV Matrix'!P8="","",'CV Matrix'!P8)</x:f>
        <x:v>1</x:v>
      </x:c>
      <x:c r="K29" s="19" t="n">
        <x:f>IF('CV Matrix'!Q8="","",'CV Matrix'!Q8)</x:f>
        <x:v>0.014619883040935673</x:v>
      </x:c>
    </x:row>
    <x:row r="30" ht="30" customHeight="1">
      <x:c r="B30" s="9" t="str">
        <x:v>C2V4</x:v>
      </x:c>
      <x:c r="C30" s="15" t="n">
        <x:v>64</x:v>
      </x:c>
      <x:c r="D30" s="15" t="n">
        <x:f>IF('CV Matrix'!J9="","",'CV Matrix'!J9)</x:f>
        <x:v>104534</x:v>
      </x:c>
      <x:c r="E30" s="17" t="n">
        <x:f>IF('CV Matrix'!K9="","",'CV Matrix'!K9)</x:f>
        <x:v>8.842028691297875</x:v>
      </x:c>
      <x:c r="F30" s="15" t="n">
        <x:f>IF('CV Matrix'!L9="","",'CV Matrix'!L9)</x:f>
        <x:v>49869</x:v>
      </x:c>
      <x:c r="G30" s="17" t="n">
        <x:f>IF('CV Matrix'!M9="","",'CV Matrix'!M9)</x:f>
        <x:v>2.109089524969549</x:v>
      </x:c>
      <x:c r="H30" s="15" t="n">
        <x:f>IF('CV Matrix'!N9="","",'CV Matrix'!N9)</x:f>
        <x:v>629</x:v>
      </x:c>
      <x:c r="I30" s="17" t="n">
        <x:f>IF('CV Matrix'!O9="","",'CV Matrix'!O9)</x:f>
        <x:v>14.560185185185185</x:v>
      </x:c>
      <x:c r="J30" s="15" t="n">
        <x:f>IF('CV Matrix'!P9="","",'CV Matrix'!P9)</x:f>
        <x:v>1</x:v>
      </x:c>
      <x:c r="K30" s="17" t="n">
        <x:f>IF('CV Matrix'!Q9="","",'CV Matrix'!Q9)</x:f>
        <x:v>0.014619883040935673</x:v>
      </x:c>
    </x:row>
    <x:row r="31" ht="30" customHeight="1">
      <x:c r="B31" s="12" t="str">
        <x:v>C2V8</x:v>
      </x:c>
      <x:c r="C31" s="18" t="n">
        <x:v>64</x:v>
      </x:c>
      <x:c r="D31" s="18" t="n">
        <x:f>IF('CV Matrix'!J10="","",'CV Matrix'!J10)</x:f>
        <x:v>105901</x:v>
      </x:c>
      <x:c r="E31" s="19" t="n">
        <x:f>IF('CV Matrix'!K10="","",'CV Matrix'!K10)</x:f>
        <x:v>8.957656651779672</x:v>
      </x:c>
      <x:c r="F31" s="18" t="n">
        <x:f>IF('CV Matrix'!L10="","",'CV Matrix'!L10)</x:f>
        <x:v>50584</x:v>
      </x:c>
      <x:c r="G31" s="19" t="n">
        <x:f>IF('CV Matrix'!M10="","",'CV Matrix'!M10)</x:f>
        <x:v>2.1393287318987686</x:v>
      </x:c>
      <x:c r="H31" s="18" t="n">
        <x:f>IF('CV Matrix'!N10="","",'CV Matrix'!N10)</x:f>
        <x:v>637</x:v>
      </x:c>
      <x:c r="I31" s="19" t="n">
        <x:f>IF('CV Matrix'!O10="","",'CV Matrix'!O10)</x:f>
        <x:v>14.74537037037037</x:v>
      </x:c>
      <x:c r="J31" s="18" t="n">
        <x:f>IF('CV Matrix'!P10="","",'CV Matrix'!P10)</x:f>
        <x:v>1</x:v>
      </x:c>
      <x:c r="K31" s="19" t="n">
        <x:f>IF('CV Matrix'!Q10="","",'CV Matrix'!Q10)</x:f>
        <x:v>0.014619883040935673</x:v>
      </x:c>
    </x:row>
    <x:row r="32" ht="30" customHeight="1">
      <x:c r="B32" s="9" t="str">
        <x:v>C4V2</x:v>
      </x:c>
      <x:c r="C32" s="15" t="n">
        <x:v>128</x:v>
      </x:c>
      <x:c r="D32" s="15" t="n">
        <x:f>IF('CV Matrix'!J11="","",'CV Matrix'!J11)</x:f>
        <x:v>108970</x:v>
      </x:c>
      <x:c r="E32" s="17" t="n">
        <x:f>IF('CV Matrix'!K11="","",'CV Matrix'!K11)</x:f>
        <x:v>9.217248612802816</x:v>
      </x:c>
      <x:c r="F32" s="15" t="n">
        <x:f>IF('CV Matrix'!L11="","",'CV Matrix'!L11)</x:f>
        <x:v>47711</x:v>
      </x:c>
      <x:c r="G32" s="17" t="n">
        <x:f>IF('CV Matrix'!M11="","",'CV Matrix'!M11)</x:f>
        <x:v>2.0178221004195427</x:v>
      </x:c>
      <x:c r="H32" s="15" t="n">
        <x:f>IF('CV Matrix'!N11="","",'CV Matrix'!N11)</x:f>
        <x:v>2443</x:v>
      </x:c>
      <x:c r="I32" s="17" t="n">
        <x:f>IF('CV Matrix'!O11="","",'CV Matrix'!O11)</x:f>
        <x:v>56.550925925925924</x:v>
      </x:c>
      <x:c r="J32" s="15" t="n">
        <x:f>IF('CV Matrix'!P11="","",'CV Matrix'!P11)</x:f>
        <x:v>1</x:v>
      </x:c>
      <x:c r="K32" s="17" t="n">
        <x:f>IF('CV Matrix'!Q11="","",'CV Matrix'!Q11)</x:f>
        <x:v>0.014619883040935673</x:v>
      </x:c>
    </x:row>
    <x:row r="33" ht="30" customHeight="1">
      <x:c r="B33" s="12" t="str">
        <x:v>C4V4</x:v>
      </x:c>
      <x:c r="C33" s="18" t="n">
        <x:v>128</x:v>
      </x:c>
      <x:c r="D33" s="18" t="n">
        <x:f>IF('CV Matrix'!J12="","",'CV Matrix'!J12)</x:f>
        <x:v>163607</x:v>
      </x:c>
      <x:c r="E33" s="19" t="n">
        <x:f>IF('CV Matrix'!K12="","",'CV Matrix'!K12)</x:f>
        <x:v>13.838729868723778</x:v>
      </x:c>
      <x:c r="F33" s="18" t="n">
        <x:f>IF('CV Matrix'!L12="","",'CV Matrix'!L12)</x:f>
        <x:v>56001</x:v>
      </x:c>
      <x:c r="G33" s="19" t="n">
        <x:f>IF('CV Matrix'!M12="","",'CV Matrix'!M12)</x:f>
        <x:v>2.368427730410069</x:v>
      </x:c>
      <x:c r="H33" s="18" t="n">
        <x:f>IF('CV Matrix'!N12="","",'CV Matrix'!N12)</x:f>
        <x:v>693</x:v>
      </x:c>
      <x:c r="I33" s="19" t="n">
        <x:f>IF('CV Matrix'!O12="","",'CV Matrix'!O12)</x:f>
        <x:v>16.041666666666668</x:v>
      </x:c>
      <x:c r="J33" s="18" t="n">
        <x:f>IF('CV Matrix'!P12="","",'CV Matrix'!P12)</x:f>
        <x:v>1</x:v>
      </x:c>
      <x:c r="K33" s="19" t="n">
        <x:f>IF('CV Matrix'!Q12="","",'CV Matrix'!Q12)</x:f>
        <x:v>0.014619883040935673</x:v>
      </x:c>
    </x:row>
    <x:row r="34" ht="30" customHeight="1">
      <x:c r="B34" s="9" t="str">
        <x:v>C4V8</x:v>
      </x:c>
      <x:c r="C34" s="15" t="n">
        <x:v>128</x:v>
      </x:c>
      <x:c r="D34" s="15" t="n">
        <x:f>IF('CV Matrix'!J13="","",'CV Matrix'!J13)</x:f>
        <x:v>176779</x:v>
      </x:c>
      <x:c r="E34" s="17" t="n">
        <x:f>IF('CV Matrix'!K13="","",'CV Matrix'!K13)</x:f>
        <x:v>14.952886046826364</x:v>
      </x:c>
      <x:c r="F34" s="15" t="n">
        <x:f>IF('CV Matrix'!L13="","",'CV Matrix'!L13)</x:f>
        <x:v>58611</x:v>
      </x:c>
      <x:c r="G34" s="17" t="n">
        <x:f>IF('CV Matrix'!M13="","",'CV Matrix'!M13)</x:f>
        <x:v>2.4788114088509947</x:v>
      </x:c>
      <x:c r="H34" s="15" t="n">
        <x:f>IF('CV Matrix'!N13="","",'CV Matrix'!N13)</x:f>
        <x:v>701</x:v>
      </x:c>
      <x:c r="I34" s="17" t="n">
        <x:f>IF('CV Matrix'!O13="","",'CV Matrix'!O13)</x:f>
        <x:v>16.22685185185185</x:v>
      </x:c>
      <x:c r="J34" s="15" t="n">
        <x:f>IF('CV Matrix'!P13="","",'CV Matrix'!P13)</x:f>
        <x:v>1</x:v>
      </x:c>
      <x:c r="K34" s="17" t="n">
        <x:f>IF('CV Matrix'!Q13="","",'CV Matrix'!Q13)</x:f>
        <x:v>0.014619883040935673</x:v>
      </x:c>
    </x:row>
    <x:row r="37">
      <x:c r="B37" t="str">
        <x:v>Percentages are numeric 0--100 values; units appear only in the headers. BRAM uses 18 Kb-equivalent capacity.</x:v>
      </x:c>
    </x:row>
    <x:row r="38">
      <x:c r="B38" t="str">
        <x:v>All selected FPGA rows use the latest validated design. C1/C2: 64 banks. C4: 128 banks.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6700000762939453" hidden="0" customWidth="1"/>
    <x:col min="2" max="2" width="23.329999923706055" hidden="0" customWidth="1"/>
    <x:col min="3" max="3" width="14.4399995803833" hidden="0" customWidth="1"/>
    <x:col min="4" max="4" width="35.560001373291016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35.560001373291016" hidden="0" customWidth="1"/>
  </x:cols>
  <x:sheetData>
    <x:row r="2" ht="30" customHeight="1">
      <x:c r="B2" s="1" t="str">
        <x:v>C1/C2/C4 x V2/V4/V8: latest validated design</x:v>
      </x:c>
    </x:row>
    <x:row r="4" ht="48" customHeight="1">
      <x:c r="B4" s="7" t="str">
        <x:v>point</x:v>
      </x:c>
      <x:c r="C4" s="7" t="str">
        <x:v>banks</x:v>
      </x:c>
      <x:c r="D4" s="7" t="str">
        <x:v>status</x:v>
      </x:c>
      <x:c r="E4" s="7" t="str">
        <x:v>CNU II</x:v>
      </x:c>
      <x:c r="F4" s="7" t="str">
        <x:v>VNU II</x:v>
      </x:c>
      <x:c r="G4" s="7" t="str">
        <x:v>latency mean us</x:v>
      </x:c>
      <x:c r="H4" s="7" t="str">
        <x:v>latency mean cycles</x:v>
      </x:c>
      <x:c r="I4" s="7" t="str">
        <x:v>throughput frames s</x:v>
      </x:c>
      <x:c r="J4" s="7" t="str">
        <x:v>LUT used</x:v>
      </x:c>
      <x:c r="K4" s="7" t="str">
        <x:v>LUT (%)</x:v>
      </x:c>
      <x:c r="L4" s="7" t="str">
        <x:v>FF used</x:v>
      </x:c>
      <x:c r="M4" s="7" t="str">
        <x:v>FF (%)</x:v>
      </x:c>
      <x:c r="N4" s="7" t="str">
        <x:v>BRAM18 equiv. used</x:v>
      </x:c>
      <x:c r="O4" s="7" t="str">
        <x:v>BRAM (%)</x:v>
      </x:c>
      <x:c r="P4" s="7" t="str">
        <x:v>DSP used</x:v>
      </x:c>
      <x:c r="Q4" s="7" t="str">
        <x:v>DSP (%)</x:v>
      </x:c>
      <x:c r="R4" s="7" t="str">
        <x:v>power total W est</x:v>
      </x:c>
      <x:c r="S4" s="7" t="str">
        <x:v>energy uJ frame est</x:v>
      </x:c>
      <x:c r="T4" s="7" t="str">
        <x:v>energy efficiency frames J est</x:v>
      </x:c>
      <x:c r="U4" s="7" t="str">
        <x:v>latency min cycles</x:v>
      </x:c>
      <x:c r="V4" s="7" t="str">
        <x:v>latency max cycles</x:v>
      </x:c>
      <x:c r="W4" s="7" t="str">
        <x:v>latency sum cycles</x:v>
      </x:c>
      <x:c r="X4" s="7" t="str">
        <x:v>latency count</x:v>
      </x:c>
      <x:c r="Y4" s="7" t="str">
        <x:v>service sum cycles</x:v>
      </x:c>
      <x:c r="Z4" s="7" t="str">
        <x:v>service count</x:v>
      </x:c>
      <x:c r="AA4" s="7" t="str">
        <x:v>controller final sha256</x:v>
      </x:c>
    </x:row>
    <x:row r="5" ht="50" customHeight="1">
      <x:c r="B5" s="9" t="str">
        <x:v>C1V2</x:v>
      </x:c>
      <x:c r="C5" s="15" t="n">
        <x:v>64</x:v>
      </x:c>
      <x:c r="D5" s="9" t="str">
        <x:v>validated_RTL_and_route</x:v>
      </x:c>
      <x:c r="E5" s="15" t="n">
        <x:v>1</x:v>
      </x:c>
      <x:c r="F5" s="15" t="n">
        <x:v>1</x:v>
      </x:c>
      <x:c r="G5" s="11" t="n">
        <x:v>505.6309375</x:v>
      </x:c>
      <x:c r="H5" s="11" t="n">
        <x:v>50563.09375</x:v>
      </x:c>
      <x:c r="I5" s="11" t="n">
        <x:v>1968.7577202293667</x:v>
      </x:c>
      <x:c r="J5" s="15" t="n">
        <x:v>54933</x:v>
      </x:c>
      <x:c r="K5" s="17" t="n">
        <x:f>IF(J5="","",J5/'Definitions and Sources'!$C$5*100)</x:f>
        <x:v>4.646518473406415</x:v>
      </x:c>
      <x:c r="L5" s="15" t="n">
        <x:v>42128</x:v>
      </x:c>
      <x:c r="M5" s="17" t="n">
        <x:f>IF(L5="","",L5/'Definitions and Sources'!$C$6*100)</x:f>
        <x:v>1.7817025307890106</x:v>
      </x:c>
      <x:c r="N5" s="11" t="n">
        <x:v>1445</x:v>
      </x:c>
      <x:c r="O5" s="17" t="n">
        <x:f>IF(N5="","",N5/'Definitions and Sources'!$C$7*100)</x:f>
        <x:v>33.449074074074076</x:v>
      </x:c>
      <x:c r="P5" s="15" t="n">
        <x:v>1</x:v>
      </x:c>
      <x:c r="Q5" s="17" t="n">
        <x:f>IF(P5="","",P5/'Definitions and Sources'!$C$9*100)</x:f>
        <x:v>0.014619883040935673</x:v>
      </x:c>
      <x:c r="R5" s="11" t="n">
        <x:v>3.598</x:v>
      </x:c>
      <x:c r="S5" s="11" t="n">
        <x:v>1827.548389032258</x:v>
      </x:c>
      <x:c r="T5" s="11" t="n">
        <x:v>547.1811340270614</x:v>
      </x:c>
      <x:c r="U5" s="15" t="n">
        <x:v>22884</x:v>
      </x:c>
      <x:c r="V5" s="15" t="n">
        <x:v>71841</x:v>
      </x:c>
      <x:c r="W5" s="15" t="n">
        <x:v>1618019</x:v>
      </x:c>
      <x:c r="X5" s="15" t="n">
        <x:v>32</x:v>
      </x:c>
      <x:c r="Y5" s="15" t="n">
        <x:v>1574597</x:v>
      </x:c>
      <x:c r="Z5" s="15" t="n">
        <x:v>31</x:v>
      </x:c>
      <x:c r="AA5" s="9" t="str">
        <x:v>289532be1e6a5fd482c1464ba6550146b97a7829177cd5a83b79720a2b6b923c</x:v>
      </x:c>
    </x:row>
    <x:row r="6" ht="50" customHeight="1">
      <x:c r="B6" s="12" t="str">
        <x:v>C1V4</x:v>
      </x:c>
      <x:c r="C6" s="18" t="n">
        <x:v>64</x:v>
      </x:c>
      <x:c r="D6" s="12" t="str">
        <x:v>validated_RTL_and_route</x:v>
      </x:c>
      <x:c r="E6" s="18" t="n">
        <x:v>1</x:v>
      </x:c>
      <x:c r="F6" s="18" t="n">
        <x:v>1</x:v>
      </x:c>
      <x:c r="G6" s="13" t="n">
        <x:v>348.4809375</x:v>
      </x:c>
      <x:c r="H6" s="13" t="n">
        <x:v>34848.09375</x:v>
      </x:c>
      <x:c r="I6" s="13" t="n">
        <x:v>2856.729487069613</x:v>
      </x:c>
      <x:c r="J6" s="18" t="n">
        <x:v>95866</x:v>
      </x:c>
      <x:c r="K6" s="19" t="n">
        <x:f>IF(J6="","",J6/'Definitions and Sources'!$C$5*100)</x:f>
        <x:v>8.108844227906348</x:v>
      </x:c>
      <x:c r="L6" s="18" t="n">
        <x:v>47732</x:v>
      </x:c>
      <x:c r="M6" s="19" t="n">
        <x:f>IF(L6="","",L6/'Definitions and Sources'!$C$6*100)</x:f>
        <x:v>2.018710244958722</x:v>
      </x:c>
      <x:c r="N6" s="13" t="n">
        <x:v>601</x:v>
      </x:c>
      <x:c r="O6" s="19" t="n">
        <x:f>IF(N6="","",N6/'Definitions and Sources'!$C$7*100)</x:f>
        <x:v>13.912037037037036</x:v>
      </x:c>
      <x:c r="P6" s="18" t="n">
        <x:v>1</x:v>
      </x:c>
      <x:c r="Q6" s="19" t="n">
        <x:f>IF(P6="","",P6/'Definitions and Sources'!$C$9*100)</x:f>
        <x:v>0.014619883040935673</x:v>
      </x:c>
      <x:c r="R6" s="13" t="n">
        <x:v>3.607</x:v>
      </x:c>
      <x:c r="S6" s="13" t="n">
        <x:v>1262.6326770967744</x:v>
      </x:c>
      <x:c r="T6" s="13" t="n">
        <x:v>791.9959764540096</x:v>
      </x:c>
      <x:c r="U6" s="18" t="n">
        <x:v>17284</x:v>
      </x:c>
      <x:c r="V6" s="18" t="n">
        <x:v>48321</x:v>
      </x:c>
      <x:c r="W6" s="18" t="n">
        <x:v>1115139</x:v>
      </x:c>
      <x:c r="X6" s="18" t="n">
        <x:v>32</x:v>
      </x:c>
      <x:c r="Y6" s="18" t="n">
        <x:v>1085157</x:v>
      </x:c>
      <x:c r="Z6" s="18" t="n">
        <x:v>31</x:v>
      </x:c>
      <x:c r="AA6" s="12" t="str">
        <x:v>ce110007ffe134a36eba86753b6530873780fc89594f8a117444e1434d23383e</x:v>
      </x:c>
    </x:row>
    <x:row r="7" ht="50" customHeight="1">
      <x:c r="B7" s="9" t="str">
        <x:v>C1V8</x:v>
      </x:c>
      <x:c r="C7" s="15" t="n">
        <x:v>64</x:v>
      </x:c>
      <x:c r="D7" s="9" t="str">
        <x:v>validated_RTL_and_route</x:v>
      </x:c>
      <x:c r="E7" s="15" t="n">
        <x:v>1</x:v>
      </x:c>
      <x:c r="F7" s="15" t="n">
        <x:v>1</x:v>
      </x:c>
      <x:c r="G7" s="11" t="n">
        <x:v>269.9059375</x:v>
      </x:c>
      <x:c r="H7" s="11" t="n">
        <x:v>26990.59375</x:v>
      </x:c>
      <x:c r="I7" s="11" t="n">
        <x:v>3688.5572624717856</x:v>
      </x:c>
      <x:c r="J7" s="15" t="n">
        <x:v>97810</x:v>
      </x:c>
      <x:c r="K7" s="17" t="n">
        <x:f>IF(J7="","",J7/'Definitions and Sources'!$C$5*100)</x:f>
        <x:v>8.273277845445934</x:v>
      </x:c>
      <x:c r="L7" s="15" t="n">
        <x:v>48216</x:v>
      </x:c>
      <x:c r="M7" s="17" t="n">
        <x:f>IF(L7="","",L7/'Definitions and Sources'!$C$6*100)</x:f>
        <x:v>2.039179861956963</x:v>
      </x:c>
      <x:c r="N7" s="11" t="n">
        <x:v>609</x:v>
      </x:c>
      <x:c r="O7" s="17" t="n">
        <x:f>IF(N7="","",N7/'Definitions and Sources'!$C$7*100)</x:f>
        <x:v>14.097222222222221</x:v>
      </x:c>
      <x:c r="P7" s="15" t="n">
        <x:v>1</x:v>
      </x:c>
      <x:c r="Q7" s="17" t="n">
        <x:f>IF(P7="","",P7/'Definitions and Sources'!$C$9*100)</x:f>
        <x:v>0.014619883040935673</x:v>
      </x:c>
      <x:c r="R7" s="11" t="n">
        <x:v>3.82</x:v>
      </x:c>
      <x:c r="S7" s="11" t="n">
        <x:v>1035.6352709677417</x:v>
      </x:c>
      <x:c r="T7" s="11" t="n">
        <x:v>965.5909064062266</x:v>
      </x:c>
      <x:c r="U7" s="15" t="n">
        <x:v>14484</x:v>
      </x:c>
      <x:c r="V7" s="15" t="n">
        <x:v>36561</x:v>
      </x:c>
      <x:c r="W7" s="15" t="n">
        <x:v>863699</x:v>
      </x:c>
      <x:c r="X7" s="15" t="n">
        <x:v>32</x:v>
      </x:c>
      <x:c r="Y7" s="15" t="n">
        <x:v>840437</x:v>
      </x:c>
      <x:c r="Z7" s="15" t="n">
        <x:v>31</x:v>
      </x:c>
      <x:c r="AA7" s="9" t="str">
        <x:v>ac32970962b2756677d5f8d31ba71b6c74c3c9736803f2025bf19d4b0301eec8</x:v>
      </x:c>
    </x:row>
    <x:row r="8" ht="50" customHeight="1">
      <x:c r="B8" s="12" t="str">
        <x:v>C2V2</x:v>
      </x:c>
      <x:c r="C8" s="18" t="n">
        <x:v>64</x:v>
      </x:c>
      <x:c r="D8" s="12" t="str">
        <x:v>validated_RTL_and_route</x:v>
      </x:c>
      <x:c r="E8" s="18" t="n">
        <x:v>1</x:v>
      </x:c>
      <x:c r="F8" s="18" t="n">
        <x:v>1</x:v>
      </x:c>
      <x:c r="G8" s="13" t="n">
        <x:v>472.7921875</x:v>
      </x:c>
      <x:c r="H8" s="13" t="n">
        <x:v>47279.21875</x:v>
      </x:c>
      <x:c r="I8" s="13" t="n">
        <x:v>2105.5705926502</x:v>
      </x:c>
      <x:c r="J8" s="18" t="n">
        <x:v>64298</x:v>
      </x:c>
      <x:c r="K8" s="19" t="n">
        <x:f>IF(J8="","",J8/'Definitions and Sources'!$C$5*100)</x:f>
        <x:v>5.438658817160644</x:v>
      </x:c>
      <x:c r="L8" s="18" t="n">
        <x:v>44253</x:v>
      </x:c>
      <x:c r="M8" s="19" t="n">
        <x:f>IF(L8="","",L8/'Definitions and Sources'!$C$6*100)</x:f>
        <x:v>1.8715742996345919</x:v>
      </x:c>
      <x:c r="N8" s="13" t="n">
        <x:v>1472</x:v>
      </x:c>
      <x:c r="O8" s="19" t="n">
        <x:f>IF(N8="","",N8/'Definitions and Sources'!$C$7*100)</x:f>
        <x:v>34.074074074074076</x:v>
      </x:c>
      <x:c r="P8" s="18" t="n">
        <x:v>1</x:v>
      </x:c>
      <x:c r="Q8" s="19" t="n">
        <x:f>IF(P8="","",P8/'Definitions and Sources'!$C$9*100)</x:f>
        <x:v>0.014619883040935673</x:v>
      </x:c>
      <x:c r="R8" s="13" t="n">
        <x:v>3.898</x:v>
      </x:c>
      <x:c r="S8" s="13" t="n">
        <x:v>1851.2796548387098</x:v>
      </x:c>
      <x:c r="T8" s="13" t="n">
        <x:v>540.1669042201642</x:v>
      </x:c>
      <x:c r="U8" s="18" t="n">
        <x:v>21876</x:v>
      </x:c>
      <x:c r="V8" s="18" t="n">
        <x:v>66801</x:v>
      </x:c>
      <x:c r="W8" s="18" t="n">
        <x:v>1512935</x:v>
      </x:c>
      <x:c r="X8" s="18" t="n">
        <x:v>32</x:v>
      </x:c>
      <x:c r="Y8" s="18" t="n">
        <x:v>1472285</x:v>
      </x:c>
      <x:c r="Z8" s="18" t="n">
        <x:v>31</x:v>
      </x:c>
      <x:c r="AA8" s="12" t="str">
        <x:v>47fbc980ed34b768b1284069f3369fa751e55ab39248424441ead2eb753a1043</x:v>
      </x:c>
    </x:row>
    <x:row r="9" ht="50" customHeight="1">
      <x:c r="B9" s="9" t="str">
        <x:v>C2V4</x:v>
      </x:c>
      <x:c r="C9" s="15" t="n">
        <x:v>64</x:v>
      </x:c>
      <x:c r="D9" s="9" t="str">
        <x:v>validated_RTL_and_route</x:v>
      </x:c>
      <x:c r="E9" s="15" t="n">
        <x:v>1</x:v>
      </x:c>
      <x:c r="F9" s="15" t="n">
        <x:v>1</x:v>
      </x:c>
      <x:c r="G9" s="11" t="n">
        <x:v>315.6421875</x:v>
      </x:c>
      <x:c r="H9" s="11" t="n">
        <x:v>31564.21875</x:v>
      </x:c>
      <x:c r="I9" s="11" t="n">
        <x:v>3154.108735355015</x:v>
      </x:c>
      <x:c r="J9" s="15" t="n">
        <x:v>104534</x:v>
      </x:c>
      <x:c r="K9" s="17" t="n">
        <x:f>IF(J9="","",J9/'Definitions and Sources'!$C$5*100)</x:f>
        <x:v>8.842028691297875</x:v>
      </x:c>
      <x:c r="L9" s="15" t="n">
        <x:v>49869</x:v>
      </x:c>
      <x:c r="M9" s="17" t="n">
        <x:f>IF(L9="","",L9/'Definitions and Sources'!$C$6*100)</x:f>
        <x:v>2.109089524969549</x:v>
      </x:c>
      <x:c r="N9" s="11" t="n">
        <x:v>629</x:v>
      </x:c>
      <x:c r="O9" s="17" t="n">
        <x:f>IF(N9="","",N9/'Definitions and Sources'!$C$7*100)</x:f>
        <x:v>14.560185185185185</x:v>
      </x:c>
      <x:c r="P9" s="15" t="n">
        <x:v>1</x:v>
      </x:c>
      <x:c r="Q9" s="17" t="n">
        <x:f>IF(P9="","",P9/'Definitions and Sources'!$C$9*100)</x:f>
        <x:v>0.014619883040935673</x:v>
      </x:c>
      <x:c r="R9" s="11" t="n">
        <x:v>4.158</x:v>
      </x:c>
      <x:c r="S9" s="11" t="n">
        <x:v>1318.2804870967743</x:v>
      </x:c>
      <x:c r="T9" s="11" t="n">
        <x:v>758.5639094167905</x:v>
      </x:c>
      <x:c r="U9" s="15" t="n">
        <x:v>16276</x:v>
      </x:c>
      <x:c r="V9" s="15" t="n">
        <x:v>43281</x:v>
      </x:c>
      <x:c r="W9" s="15" t="n">
        <x:v>1010055</x:v>
      </x:c>
      <x:c r="X9" s="15" t="n">
        <x:v>32</x:v>
      </x:c>
      <x:c r="Y9" s="15" t="n">
        <x:v>982845</x:v>
      </x:c>
      <x:c r="Z9" s="15" t="n">
        <x:v>31</x:v>
      </x:c>
      <x:c r="AA9" s="9" t="str">
        <x:v>cf3b0cc8ffdd0da15f23ad0824a7a5d697a2ef50f59a9089d62494bc44f9ae81</x:v>
      </x:c>
    </x:row>
    <x:row r="10" ht="50" customHeight="1">
      <x:c r="B10" s="12" t="str">
        <x:v>C2V8</x:v>
      </x:c>
      <x:c r="C10" s="18" t="n">
        <x:v>64</x:v>
      </x:c>
      <x:c r="D10" s="12" t="str">
        <x:v>validated_RTL_and_route</x:v>
      </x:c>
      <x:c r="E10" s="18" t="n">
        <x:v>1</x:v>
      </x:c>
      <x:c r="F10" s="18" t="n">
        <x:v>1</x:v>
      </x:c>
      <x:c r="G10" s="13" t="n">
        <x:v>237.0671875</x:v>
      </x:c>
      <x:c r="H10" s="13" t="n">
        <x:v>23706.71875</x:v>
      </x:c>
      <x:c r="I10" s="13" t="n">
        <x:v>4199.830651989839</x:v>
      </x:c>
      <x:c r="J10" s="18" t="n">
        <x:v>105901</x:v>
      </x:c>
      <x:c r="K10" s="19" t="n">
        <x:f>IF(J10="","",J10/'Definitions and Sources'!$C$5*100)</x:f>
        <x:v>8.957656651779672</x:v>
      </x:c>
      <x:c r="L10" s="18" t="n">
        <x:v>50584</x:v>
      </x:c>
      <x:c r="M10" s="19" t="n">
        <x:f>IF(L10="","",L10/'Definitions and Sources'!$C$6*100)</x:f>
        <x:v>2.1393287318987686</x:v>
      </x:c>
      <x:c r="N10" s="13" t="n">
        <x:v>637</x:v>
      </x:c>
      <x:c r="O10" s="19" t="n">
        <x:f>IF(N10="","",N10/'Definitions and Sources'!$C$7*100)</x:f>
        <x:v>14.74537037037037</x:v>
      </x:c>
      <x:c r="P10" s="18" t="n">
        <x:v>1</x:v>
      </x:c>
      <x:c r="Q10" s="19" t="n">
        <x:f>IF(P10="","",P10/'Definitions and Sources'!$C$9*100)</x:f>
        <x:v>0.014619883040935673</x:v>
      </x:c>
      <x:c r="R10" s="13" t="n">
        <x:v>4.308</x:v>
      </x:c>
      <x:c r="S10" s="13" t="n">
        <x:v>1025.7556451612904</x:v>
      </x:c>
      <x:c r="T10" s="13" t="n">
        <x:v>974.8910519939274</x:v>
      </x:c>
      <x:c r="U10" s="18" t="n">
        <x:v>13476</x:v>
      </x:c>
      <x:c r="V10" s="18" t="n">
        <x:v>31521</x:v>
      </x:c>
      <x:c r="W10" s="18" t="n">
        <x:v>758615</x:v>
      </x:c>
      <x:c r="X10" s="18" t="n">
        <x:v>32</x:v>
      </x:c>
      <x:c r="Y10" s="18" t="n">
        <x:v>738125</x:v>
      </x:c>
      <x:c r="Z10" s="18" t="n">
        <x:v>31</x:v>
      </x:c>
      <x:c r="AA10" s="12" t="str">
        <x:v>8dbc673894e1adf94c0a3d6e413907542643a1440cef5660e647d9353f0e5077</x:v>
      </x:c>
    </x:row>
    <x:row r="11" ht="50" customHeight="1">
      <x:c r="B11" s="9" t="str">
        <x:v>C4V2</x:v>
      </x:c>
      <x:c r="C11" s="15" t="n">
        <x:v>128</x:v>
      </x:c>
      <x:c r="D11" s="9" t="str">
        <x:v>validated_RTL_and_route</x:v>
      </x:c>
      <x:c r="E11" s="15" t="n">
        <x:v>1</x:v>
      </x:c>
      <x:c r="F11" s="15" t="n">
        <x:v>1</x:v>
      </x:c>
      <x:c r="G11" s="11" t="n">
        <x:v>456.3728125</x:v>
      </x:c>
      <x:c r="H11" s="11" t="n">
        <x:v>45637.28125</x:v>
      </x:c>
      <x:c r="I11" s="11" t="n">
        <x:v>2181.364253350681</x:v>
      </x:c>
      <x:c r="J11" s="15" t="n">
        <x:v>108970</x:v>
      </x:c>
      <x:c r="K11" s="17" t="n">
        <x:f>IF(J11="","",J11/'Definitions and Sources'!$C$5*100)</x:f>
        <x:v>9.217248612802816</x:v>
      </x:c>
      <x:c r="L11" s="15" t="n">
        <x:v>47711</x:v>
      </x:c>
      <x:c r="M11" s="17" t="n">
        <x:f>IF(L11="","",L11/'Definitions and Sources'!$C$6*100)</x:f>
        <x:v>2.0178221004195427</x:v>
      </x:c>
      <x:c r="N11" s="11" t="n">
        <x:v>2443</x:v>
      </x:c>
      <x:c r="O11" s="17" t="n">
        <x:f>IF(N11="","",N11/'Definitions and Sources'!$C$7*100)</x:f>
        <x:v>56.550925925925924</x:v>
      </x:c>
      <x:c r="P11" s="15" t="n">
        <x:v>1</x:v>
      </x:c>
      <x:c r="Q11" s="17" t="n">
        <x:f>IF(P11="","",P11/'Definitions and Sources'!$C$9*100)</x:f>
        <x:v>0.014619883040935673</x:v>
      </x:c>
      <x:c r="R11" s="11" t="n">
        <x:v>5.425</x:v>
      </x:c>
      <x:c r="S11" s="11" t="n">
        <x:v>2486.97575</x:v>
      </x:c>
      <x:c r="T11" s="11" t="n">
        <x:v>402.0947932443652</x:v>
      </x:c>
      <x:c r="U11" s="15" t="n">
        <x:v>21372</x:v>
      </x:c>
      <x:c r="V11" s="15" t="n">
        <x:v>64281</x:v>
      </x:c>
      <x:c r="W11" s="15" t="n">
        <x:v>1460393</x:v>
      </x:c>
      <x:c r="X11" s="15" t="n">
        <x:v>32</x:v>
      </x:c>
      <x:c r="Y11" s="15" t="n">
        <x:v>1421129</x:v>
      </x:c>
      <x:c r="Z11" s="15" t="n">
        <x:v>31</x:v>
      </x:c>
      <x:c r="AA11" s="9" t="str">
        <x:v>e032b2ca55b3e6e12a02697ec8a0bc53c57c3175536010479bd28bff1e7935de</x:v>
      </x:c>
    </x:row>
    <x:row r="12" ht="50" customHeight="1">
      <x:c r="B12" s="12" t="str">
        <x:v>C4V4</x:v>
      </x:c>
      <x:c r="C12" s="18" t="n">
        <x:v>128</x:v>
      </x:c>
      <x:c r="D12" s="12" t="str">
        <x:v>validated_RTL_and_route</x:v>
      </x:c>
      <x:c r="E12" s="18" t="n">
        <x:v>1</x:v>
      </x:c>
      <x:c r="F12" s="18" t="n">
        <x:v>1</x:v>
      </x:c>
      <x:c r="G12" s="13" t="n">
        <x:v>299.2228125</x:v>
      </x:c>
      <x:c r="H12" s="13" t="n">
        <x:v>29922.28125</x:v>
      </x:c>
      <x:c r="I12" s="13" t="n">
        <x:v>3327.2905443769328</x:v>
      </x:c>
      <x:c r="J12" s="18" t="n">
        <x:v>163607</x:v>
      </x:c>
      <x:c r="K12" s="19" t="n">
        <x:f>IF(J12="","",J12/'Definitions and Sources'!$C$5*100)</x:f>
        <x:v>13.838729868723778</x:v>
      </x:c>
      <x:c r="L12" s="18" t="n">
        <x:v>56001</x:v>
      </x:c>
      <x:c r="M12" s="19" t="n">
        <x:f>IF(L12="","",L12/'Definitions and Sources'!$C$6*100)</x:f>
        <x:v>2.368427730410069</x:v>
      </x:c>
      <x:c r="N12" s="13" t="n">
        <x:v>693</x:v>
      </x:c>
      <x:c r="O12" s="19" t="n">
        <x:f>IF(N12="","",N12/'Definitions and Sources'!$C$7*100)</x:f>
        <x:v>16.041666666666668</x:v>
      </x:c>
      <x:c r="P12" s="18" t="n">
        <x:v>1</x:v>
      </x:c>
      <x:c r="Q12" s="19" t="n">
        <x:f>IF(P12="","",P12/'Definitions and Sources'!$C$9*100)</x:f>
        <x:v>0.014619883040935673</x:v>
      </x:c>
      <x:c r="R12" s="13" t="n">
        <x:v>5.453</x:v>
      </x:c>
      <x:c r="S12" s="13" t="n">
        <x:v>1638.871005483871</x:v>
      </x:c>
      <x:c r="T12" s="13" t="n">
        <x:v>610.1761497115226</x:v>
      </x:c>
      <x:c r="U12" s="18" t="n">
        <x:v>15772</x:v>
      </x:c>
      <x:c r="V12" s="18" t="n">
        <x:v>40761</x:v>
      </x:c>
      <x:c r="W12" s="18" t="n">
        <x:v>957513</x:v>
      </x:c>
      <x:c r="X12" s="18" t="n">
        <x:v>32</x:v>
      </x:c>
      <x:c r="Y12" s="18" t="n">
        <x:v>931689</x:v>
      </x:c>
      <x:c r="Z12" s="18" t="n">
        <x:v>31</x:v>
      </x:c>
      <x:c r="AA12" s="12" t="str">
        <x:v>4a101f3d535bdc24279c627475c31521f58c6e4e5933c37b27885752d4640e76</x:v>
      </x:c>
    </x:row>
    <x:row r="13" ht="50" customHeight="1">
      <x:c r="B13" s="9" t="str">
        <x:v>C4V8</x:v>
      </x:c>
      <x:c r="C13" s="15" t="n">
        <x:v>128</x:v>
      </x:c>
      <x:c r="D13" s="9" t="str">
        <x:v>validated_RTL_and_route</x:v>
      </x:c>
      <x:c r="E13" s="15" t="n">
        <x:v>1</x:v>
      </x:c>
      <x:c r="F13" s="15" t="n">
        <x:v>1</x:v>
      </x:c>
      <x:c r="G13" s="11" t="n">
        <x:v>220.6478125</x:v>
      </x:c>
      <x:c r="H13" s="11" t="n">
        <x:v>22064.78125</x:v>
      </x:c>
      <x:c r="I13" s="11" t="n">
        <x:v>4512.576258899601</x:v>
      </x:c>
      <x:c r="J13" s="15" t="n">
        <x:v>176779</x:v>
      </x:c>
      <x:c r="K13" s="17" t="n">
        <x:f>IF(J13="","",J13/'Definitions and Sources'!$C$5*100)</x:f>
        <x:v>14.952886046826364</x:v>
      </x:c>
      <x:c r="L13" s="15" t="n">
        <x:v>58611</x:v>
      </x:c>
      <x:c r="M13" s="17" t="n">
        <x:f>IF(L13="","",L13/'Definitions and Sources'!$C$6*100)</x:f>
        <x:v>2.4788114088509947</x:v>
      </x:c>
      <x:c r="N13" s="11" t="n">
        <x:v>701</x:v>
      </x:c>
      <x:c r="O13" s="17" t="n">
        <x:f>IF(N13="","",N13/'Definitions and Sources'!$C$7*100)</x:f>
        <x:v>16.22685185185185</x:v>
      </x:c>
      <x:c r="P13" s="15" t="n">
        <x:v>1</x:v>
      </x:c>
      <x:c r="Q13" s="17" t="n">
        <x:f>IF(P13="","",P13/'Definitions and Sources'!$C$9*100)</x:f>
        <x:v>0.014619883040935673</x:v>
      </x:c>
      <x:c r="R13" s="11" t="n">
        <x:v>4.741</x:v>
      </x:c>
      <x:c r="S13" s="11" t="n">
        <x:v>1050.619364193548</x:v>
      </x:c>
      <x:c r="T13" s="11" t="n">
        <x:v>951.8195019826201</x:v>
      </x:c>
      <x:c r="U13" s="15" t="n">
        <x:v>12972</x:v>
      </x:c>
      <x:c r="V13" s="15" t="n">
        <x:v>29001</x:v>
      </x:c>
      <x:c r="W13" s="15" t="n">
        <x:v>706073</x:v>
      </x:c>
      <x:c r="X13" s="15" t="n">
        <x:v>32</x:v>
      </x:c>
      <x:c r="Y13" s="15" t="n">
        <x:v>686969</x:v>
      </x:c>
      <x:c r="Z13" s="15" t="n">
        <x:v>31</x:v>
      </x:c>
      <x:c r="AA13" s="9" t="str">
        <x:v>4957425c0ed6dee2697046ea42758fc4f20e780c45d6af07759506bfbee04e93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6700000762939453" hidden="0" customWidth="1"/>
    <x:col min="2" max="2" width="23.329999923706055" hidden="0" customWidth="1"/>
    <x:col min="3" max="3" width="23.329999923706055" hidden="0" customWidth="1"/>
    <x:col min="4" max="4" width="14.4399995803833" hidden="0" customWidth="1"/>
    <x:col min="5" max="5" width="35.560001373291016" hidden="0" customWidth="1"/>
    <x:col min="6" max="6" width="35.560001373291016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  <x:col min="28" max="28" width="14.4399995803833" hidden="0" customWidth="1"/>
    <x:col min="29" max="29" width="14.4399995803833" hidden="0" customWidth="1"/>
    <x:col min="30" max="30" width="35.560001373291016" hidden="0" customWidth="1"/>
    <x:col min="31" max="31" width="35.560001373291016" hidden="0" customWidth="1"/>
  </x:cols>
  <x:sheetData>
    <x:row r="2" ht="30" customHeight="1">
      <x:c r="B2" s="1" t="str">
        <x:v>Latest validated FPGA results: nine selected points</x:v>
      </x:c>
    </x:row>
    <x:row r="4" ht="48" customHeight="1">
      <x:c r="B4" s="7" t="str">
        <x:v>variant id</x:v>
      </x:c>
      <x:c r="C4" s="7" t="str">
        <x:v>point</x:v>
      </x:c>
      <x:c r="D4" s="7" t="str">
        <x:v>banks</x:v>
      </x:c>
      <x:c r="E4" s="7" t="str">
        <x:v>design generation</x:v>
      </x:c>
      <x:c r="F4" s="7" t="str">
        <x:v>status</x:v>
      </x:c>
      <x:c r="G4" s="7" t="str">
        <x:v>latency mean us</x:v>
      </x:c>
      <x:c r="H4" s="7" t="str">
        <x:v>latency mean cycles</x:v>
      </x:c>
      <x:c r="I4" s="7" t="str">
        <x:v>throughput frames s</x:v>
      </x:c>
      <x:c r="J4" s="7" t="str">
        <x:v>LUT used</x:v>
      </x:c>
      <x:c r="K4" s="7" t="str">
        <x:v>LUT (%)</x:v>
      </x:c>
      <x:c r="L4" s="7" t="str">
        <x:v>FF used</x:v>
      </x:c>
      <x:c r="M4" s="7" t="str">
        <x:v>FF (%)</x:v>
      </x:c>
      <x:c r="N4" s="7" t="str">
        <x:v>BRAM18 equiv. used</x:v>
      </x:c>
      <x:c r="O4" s="7" t="str">
        <x:v>BRAM (%)</x:v>
      </x:c>
      <x:c r="P4" s="7" t="str">
        <x:v>bram36 equiv</x:v>
      </x:c>
      <x:c r="Q4" s="7" t="str">
        <x:v>DSP used</x:v>
      </x:c>
      <x:c r="R4" s="7" t="str">
        <x:v>DSP (%)</x:v>
      </x:c>
      <x:c r="S4" s="7" t="str">
        <x:v>power total W est</x:v>
      </x:c>
      <x:c r="T4" s="7" t="str">
        <x:v>power dynamic W est</x:v>
      </x:c>
      <x:c r="U4" s="7" t="str">
        <x:v>power static W est</x:v>
      </x:c>
      <x:c r="V4" s="7" t="str">
        <x:v>energy uJ frame est</x:v>
      </x:c>
      <x:c r="W4" s="7" t="str">
        <x:v>energy efficiency frames J est</x:v>
      </x:c>
      <x:c r="X4" s="7" t="str">
        <x:v>latency min cycles</x:v>
      </x:c>
      <x:c r="Y4" s="7" t="str">
        <x:v>latency max cycles</x:v>
      </x:c>
      <x:c r="Z4" s="7" t="str">
        <x:v>latency sum cycles</x:v>
      </x:c>
      <x:c r="AA4" s="7" t="str">
        <x:v>latency count</x:v>
      </x:c>
      <x:c r="AB4" s="7" t="str">
        <x:v>service sum cycles</x:v>
      </x:c>
      <x:c r="AC4" s="7" t="str">
        <x:v>service count</x:v>
      </x:c>
      <x:c r="AD4" s="7" t="str">
        <x:v>controller final sha256</x:v>
      </x:c>
      <x:c r="AE4" s="7" t="str">
        <x:v>power report sha256</x:v>
      </x:c>
    </x:row>
    <x:row r="5" ht="50" customHeight="1">
      <x:c r="B5" s="9" t="str">
        <x:v>C1V2_b64_289532be1e6a</x:v>
      </x:c>
      <x:c r="C5" s="9" t="str">
        <x:v>C1V2</x:v>
      </x:c>
      <x:c r="D5" s="15" t="n">
        <x:v>64</x:v>
      </x:c>
      <x:c r="E5" s="9" t="str">
        <x:v>latest CNU/VNU gather</x:v>
      </x:c>
      <x:c r="F5" s="9" t="str">
        <x:v>validated_RTL_and_route</x:v>
      </x:c>
      <x:c r="G5" s="11" t="n">
        <x:v>505.6309375</x:v>
      </x:c>
      <x:c r="H5" s="11" t="n">
        <x:v>50563.09375</x:v>
      </x:c>
      <x:c r="I5" s="11" t="n">
        <x:v>1968.7577202293667</x:v>
      </x:c>
      <x:c r="J5" s="15" t="n">
        <x:v>54933</x:v>
      </x:c>
      <x:c r="K5" s="17" t="n">
        <x:f>IF(J5="","",J5/'Definitions and Sources'!$C$5*100)</x:f>
        <x:v>4.646518473406415</x:v>
      </x:c>
      <x:c r="L5" s="15" t="n">
        <x:v>42128</x:v>
      </x:c>
      <x:c r="M5" s="17" t="n">
        <x:f>IF(L5="","",L5/'Definitions and Sources'!$C$6*100)</x:f>
        <x:v>1.7817025307890106</x:v>
      </x:c>
      <x:c r="N5" s="11" t="n">
        <x:v>1445</x:v>
      </x:c>
      <x:c r="O5" s="17" t="n">
        <x:f>IF(N5="","",N5/'Definitions and Sources'!$C$7*100)</x:f>
        <x:v>33.449074074074076</x:v>
      </x:c>
      <x:c r="P5" s="11" t="n">
        <x:v>722.5</x:v>
      </x:c>
      <x:c r="Q5" s="15" t="n">
        <x:v>1</x:v>
      </x:c>
      <x:c r="R5" s="17" t="n">
        <x:f>IF(Q5="","",Q5/'Definitions and Sources'!$C$9*100)</x:f>
        <x:v>0.014619883040935673</x:v>
      </x:c>
      <x:c r="S5" s="11" t="n">
        <x:v>3.598</x:v>
      </x:c>
      <x:c r="T5" s="11" t="n">
        <x:v>1.112</x:v>
      </x:c>
      <x:c r="U5" s="11" t="n">
        <x:v>2.486</x:v>
      </x:c>
      <x:c r="V5" s="11" t="n">
        <x:v>1827.548389032258</x:v>
      </x:c>
      <x:c r="W5" s="11" t="n">
        <x:v>547.1811340270614</x:v>
      </x:c>
      <x:c r="X5" s="15" t="n">
        <x:v>22884</x:v>
      </x:c>
      <x:c r="Y5" s="15" t="n">
        <x:v>71841</x:v>
      </x:c>
      <x:c r="Z5" s="15" t="n">
        <x:v>1618019</x:v>
      </x:c>
      <x:c r="AA5" s="15" t="n">
        <x:v>32</x:v>
      </x:c>
      <x:c r="AB5" s="15" t="n">
        <x:v>1574597</x:v>
      </x:c>
      <x:c r="AC5" s="15" t="n">
        <x:v>31</x:v>
      </x:c>
      <x:c r="AD5" s="9" t="str">
        <x:v>289532be1e6a5fd482c1464ba6550146b97a7829177cd5a83b79720a2b6b923c</x:v>
      </x:c>
      <x:c r="AE5" s="9" t="str">
        <x:v>353665b6465c53254b72f35169990dc7e60d0df901c1733584ab4396aabd508f</x:v>
      </x:c>
    </x:row>
    <x:row r="6" ht="50" customHeight="1">
      <x:c r="B6" s="12" t="str">
        <x:v>C1V4_b64_ce110007ffe1</x:v>
      </x:c>
      <x:c r="C6" s="12" t="str">
        <x:v>C1V4</x:v>
      </x:c>
      <x:c r="D6" s="18" t="n">
        <x:v>64</x:v>
      </x:c>
      <x:c r="E6" s="12" t="str">
        <x:v>latest CNU/VNU gather</x:v>
      </x:c>
      <x:c r="F6" s="12" t="str">
        <x:v>validated_RTL_and_route</x:v>
      </x:c>
      <x:c r="G6" s="13" t="n">
        <x:v>348.4809375</x:v>
      </x:c>
      <x:c r="H6" s="13" t="n">
        <x:v>34848.09375</x:v>
      </x:c>
      <x:c r="I6" s="13" t="n">
        <x:v>2856.729487069613</x:v>
      </x:c>
      <x:c r="J6" s="18" t="n">
        <x:v>95866</x:v>
      </x:c>
      <x:c r="K6" s="19" t="n">
        <x:f>IF(J6="","",J6/'Definitions and Sources'!$C$5*100)</x:f>
        <x:v>8.108844227906348</x:v>
      </x:c>
      <x:c r="L6" s="18" t="n">
        <x:v>47732</x:v>
      </x:c>
      <x:c r="M6" s="19" t="n">
        <x:f>IF(L6="","",L6/'Definitions and Sources'!$C$6*100)</x:f>
        <x:v>2.018710244958722</x:v>
      </x:c>
      <x:c r="N6" s="13" t="n">
        <x:v>601</x:v>
      </x:c>
      <x:c r="O6" s="19" t="n">
        <x:f>IF(N6="","",N6/'Definitions and Sources'!$C$7*100)</x:f>
        <x:v>13.912037037037036</x:v>
      </x:c>
      <x:c r="P6" s="13" t="n">
        <x:v>300.5</x:v>
      </x:c>
      <x:c r="Q6" s="18" t="n">
        <x:v>1</x:v>
      </x:c>
      <x:c r="R6" s="19" t="n">
        <x:f>IF(Q6="","",Q6/'Definitions and Sources'!$C$9*100)</x:f>
        <x:v>0.014619883040935673</x:v>
      </x:c>
      <x:c r="S6" s="13" t="n">
        <x:v>3.607</x:v>
      </x:c>
      <x:c r="T6" s="13" t="n">
        <x:v>1.122</x:v>
      </x:c>
      <x:c r="U6" s="13" t="n">
        <x:v>2.486</x:v>
      </x:c>
      <x:c r="V6" s="13" t="n">
        <x:v>1262.6326770967744</x:v>
      </x:c>
      <x:c r="W6" s="13" t="n">
        <x:v>791.9959764540096</x:v>
      </x:c>
      <x:c r="X6" s="18" t="n">
        <x:v>17284</x:v>
      </x:c>
      <x:c r="Y6" s="18" t="n">
        <x:v>48321</x:v>
      </x:c>
      <x:c r="Z6" s="18" t="n">
        <x:v>1115139</x:v>
      </x:c>
      <x:c r="AA6" s="18" t="n">
        <x:v>32</x:v>
      </x:c>
      <x:c r="AB6" s="18" t="n">
        <x:v>1085157</x:v>
      </x:c>
      <x:c r="AC6" s="18" t="n">
        <x:v>31</x:v>
      </x:c>
      <x:c r="AD6" s="12" t="str">
        <x:v>ce110007ffe134a36eba86753b6530873780fc89594f8a117444e1434d23383e</x:v>
      </x:c>
      <x:c r="AE6" s="12" t="str">
        <x:v>7c1be2ad07d621dadebcc885a03b6e03f2d6238d3bde07deeb8c5a8755312154</x:v>
      </x:c>
    </x:row>
    <x:row r="7" ht="50" customHeight="1">
      <x:c r="B7" s="9" t="str">
        <x:v>C1V8_b64_ac32970962b2</x:v>
      </x:c>
      <x:c r="C7" s="9" t="str">
        <x:v>C1V8</x:v>
      </x:c>
      <x:c r="D7" s="15" t="n">
        <x:v>64</x:v>
      </x:c>
      <x:c r="E7" s="9" t="str">
        <x:v>latest CNU/VNU gather</x:v>
      </x:c>
      <x:c r="F7" s="9" t="str">
        <x:v>validated_RTL_and_route</x:v>
      </x:c>
      <x:c r="G7" s="11" t="n">
        <x:v>269.9059375</x:v>
      </x:c>
      <x:c r="H7" s="11" t="n">
        <x:v>26990.59375</x:v>
      </x:c>
      <x:c r="I7" s="11" t="n">
        <x:v>3688.5572624717856</x:v>
      </x:c>
      <x:c r="J7" s="15" t="n">
        <x:v>97810</x:v>
      </x:c>
      <x:c r="K7" s="17" t="n">
        <x:f>IF(J7="","",J7/'Definitions and Sources'!$C$5*100)</x:f>
        <x:v>8.273277845445934</x:v>
      </x:c>
      <x:c r="L7" s="15" t="n">
        <x:v>48216</x:v>
      </x:c>
      <x:c r="M7" s="17" t="n">
        <x:f>IF(L7="","",L7/'Definitions and Sources'!$C$6*100)</x:f>
        <x:v>2.039179861956963</x:v>
      </x:c>
      <x:c r="N7" s="11" t="n">
        <x:v>609</x:v>
      </x:c>
      <x:c r="O7" s="17" t="n">
        <x:f>IF(N7="","",N7/'Definitions and Sources'!$C$7*100)</x:f>
        <x:v>14.097222222222221</x:v>
      </x:c>
      <x:c r="P7" s="11" t="n">
        <x:v>304.5</x:v>
      </x:c>
      <x:c r="Q7" s="15" t="n">
        <x:v>1</x:v>
      </x:c>
      <x:c r="R7" s="17" t="n">
        <x:f>IF(Q7="","",Q7/'Definitions and Sources'!$C$9*100)</x:f>
        <x:v>0.014619883040935673</x:v>
      </x:c>
      <x:c r="S7" s="11" t="n">
        <x:v>3.82</x:v>
      </x:c>
      <x:c r="T7" s="11" t="n">
        <x:v>1.332</x:v>
      </x:c>
      <x:c r="U7" s="11" t="n">
        <x:v>2.489</x:v>
      </x:c>
      <x:c r="V7" s="11" t="n">
        <x:v>1035.6352709677417</x:v>
      </x:c>
      <x:c r="W7" s="11" t="n">
        <x:v>965.5909064062266</x:v>
      </x:c>
      <x:c r="X7" s="15" t="n">
        <x:v>14484</x:v>
      </x:c>
      <x:c r="Y7" s="15" t="n">
        <x:v>36561</x:v>
      </x:c>
      <x:c r="Z7" s="15" t="n">
        <x:v>863699</x:v>
      </x:c>
      <x:c r="AA7" s="15" t="n">
        <x:v>32</x:v>
      </x:c>
      <x:c r="AB7" s="15" t="n">
        <x:v>840437</x:v>
      </x:c>
      <x:c r="AC7" s="15" t="n">
        <x:v>31</x:v>
      </x:c>
      <x:c r="AD7" s="9" t="str">
        <x:v>ac32970962b2756677d5f8d31ba71b6c74c3c9736803f2025bf19d4b0301eec8</x:v>
      </x:c>
      <x:c r="AE7" s="9" t="str">
        <x:v>08af451c0de02e8e4c928b0ff134fcbfcf0fcca362ab5f144a6ded72809201a8</x:v>
      </x:c>
    </x:row>
    <x:row r="8" ht="50" customHeight="1">
      <x:c r="B8" s="12" t="str">
        <x:v>C2V2_b64_47fbc980ed34</x:v>
      </x:c>
      <x:c r="C8" s="12" t="str">
        <x:v>C2V2</x:v>
      </x:c>
      <x:c r="D8" s="18" t="n">
        <x:v>64</x:v>
      </x:c>
      <x:c r="E8" s="12" t="str">
        <x:v>latest CNU/VNU gather</x:v>
      </x:c>
      <x:c r="F8" s="12" t="str">
        <x:v>validated_RTL_and_route</x:v>
      </x:c>
      <x:c r="G8" s="13" t="n">
        <x:v>472.7921875</x:v>
      </x:c>
      <x:c r="H8" s="13" t="n">
        <x:v>47279.21875</x:v>
      </x:c>
      <x:c r="I8" s="13" t="n">
        <x:v>2105.5705926502</x:v>
      </x:c>
      <x:c r="J8" s="18" t="n">
        <x:v>64298</x:v>
      </x:c>
      <x:c r="K8" s="19" t="n">
        <x:f>IF(J8="","",J8/'Definitions and Sources'!$C$5*100)</x:f>
        <x:v>5.438658817160644</x:v>
      </x:c>
      <x:c r="L8" s="18" t="n">
        <x:v>44253</x:v>
      </x:c>
      <x:c r="M8" s="19" t="n">
        <x:f>IF(L8="","",L8/'Definitions and Sources'!$C$6*100)</x:f>
        <x:v>1.8715742996345919</x:v>
      </x:c>
      <x:c r="N8" s="13" t="n">
        <x:v>1472</x:v>
      </x:c>
      <x:c r="O8" s="19" t="n">
        <x:f>IF(N8="","",N8/'Definitions and Sources'!$C$7*100)</x:f>
        <x:v>34.074074074074076</x:v>
      </x:c>
      <x:c r="P8" s="13" t="n">
        <x:v>736</x:v>
      </x:c>
      <x:c r="Q8" s="18" t="n">
        <x:v>1</x:v>
      </x:c>
      <x:c r="R8" s="19" t="n">
        <x:f>IF(Q8="","",Q8/'Definitions and Sources'!$C$9*100)</x:f>
        <x:v>0.014619883040935673</x:v>
      </x:c>
      <x:c r="S8" s="13" t="n">
        <x:v>3.898</x:v>
      </x:c>
      <x:c r="T8" s="13" t="n">
        <x:v>1.408</x:v>
      </x:c>
      <x:c r="U8" s="13" t="n">
        <x:v>2.49</x:v>
      </x:c>
      <x:c r="V8" s="13" t="n">
        <x:v>1851.2796548387098</x:v>
      </x:c>
      <x:c r="W8" s="13" t="n">
        <x:v>540.1669042201642</x:v>
      </x:c>
      <x:c r="X8" s="18" t="n">
        <x:v>21876</x:v>
      </x:c>
      <x:c r="Y8" s="18" t="n">
        <x:v>66801</x:v>
      </x:c>
      <x:c r="Z8" s="18" t="n">
        <x:v>1512935</x:v>
      </x:c>
      <x:c r="AA8" s="18" t="n">
        <x:v>32</x:v>
      </x:c>
      <x:c r="AB8" s="18" t="n">
        <x:v>1472285</x:v>
      </x:c>
      <x:c r="AC8" s="18" t="n">
        <x:v>31</x:v>
      </x:c>
      <x:c r="AD8" s="12" t="str">
        <x:v>47fbc980ed34b768b1284069f3369fa751e55ab39248424441ead2eb753a1043</x:v>
      </x:c>
      <x:c r="AE8" s="12" t="str">
        <x:v>ed7ae52fc5ab1f1d89b58696a88d262903fcf73f43d9f5e001e75fa7b10b8f51</x:v>
      </x:c>
    </x:row>
    <x:row r="9" ht="50" customHeight="1">
      <x:c r="B9" s="9" t="str">
        <x:v>C2V4_b64_cf3b0cc8ffdd</x:v>
      </x:c>
      <x:c r="C9" s="9" t="str">
        <x:v>C2V4</x:v>
      </x:c>
      <x:c r="D9" s="15" t="n">
        <x:v>64</x:v>
      </x:c>
      <x:c r="E9" s="9" t="str">
        <x:v>latest CNU/VNU gather</x:v>
      </x:c>
      <x:c r="F9" s="9" t="str">
        <x:v>validated_RTL_and_route</x:v>
      </x:c>
      <x:c r="G9" s="11" t="n">
        <x:v>315.6421875</x:v>
      </x:c>
      <x:c r="H9" s="11" t="n">
        <x:v>31564.21875</x:v>
      </x:c>
      <x:c r="I9" s="11" t="n">
        <x:v>3154.108735355015</x:v>
      </x:c>
      <x:c r="J9" s="15" t="n">
        <x:v>104534</x:v>
      </x:c>
      <x:c r="K9" s="17" t="n">
        <x:f>IF(J9="","",J9/'Definitions and Sources'!$C$5*100)</x:f>
        <x:v>8.842028691297875</x:v>
      </x:c>
      <x:c r="L9" s="15" t="n">
        <x:v>49869</x:v>
      </x:c>
      <x:c r="M9" s="17" t="n">
        <x:f>IF(L9="","",L9/'Definitions and Sources'!$C$6*100)</x:f>
        <x:v>2.109089524969549</x:v>
      </x:c>
      <x:c r="N9" s="11" t="n">
        <x:v>629</x:v>
      </x:c>
      <x:c r="O9" s="17" t="n">
        <x:f>IF(N9="","",N9/'Definitions and Sources'!$C$7*100)</x:f>
        <x:v>14.560185185185185</x:v>
      </x:c>
      <x:c r="P9" s="11" t="n">
        <x:v>314.5</x:v>
      </x:c>
      <x:c r="Q9" s="15" t="n">
        <x:v>1</x:v>
      </x:c>
      <x:c r="R9" s="17" t="n">
        <x:f>IF(Q9="","",Q9/'Definitions and Sources'!$C$9*100)</x:f>
        <x:v>0.014619883040935673</x:v>
      </x:c>
      <x:c r="S9" s="11" t="n">
        <x:v>4.158</x:v>
      </x:c>
      <x:c r="T9" s="11" t="n">
        <x:v>1.665</x:v>
      </x:c>
      <x:c r="U9" s="11" t="n">
        <x:v>2.493</x:v>
      </x:c>
      <x:c r="V9" s="11" t="n">
        <x:v>1318.2804870967743</x:v>
      </x:c>
      <x:c r="W9" s="11" t="n">
        <x:v>758.5639094167905</x:v>
      </x:c>
      <x:c r="X9" s="15" t="n">
        <x:v>16276</x:v>
      </x:c>
      <x:c r="Y9" s="15" t="n">
        <x:v>43281</x:v>
      </x:c>
      <x:c r="Z9" s="15" t="n">
        <x:v>1010055</x:v>
      </x:c>
      <x:c r="AA9" s="15" t="n">
        <x:v>32</x:v>
      </x:c>
      <x:c r="AB9" s="15" t="n">
        <x:v>982845</x:v>
      </x:c>
      <x:c r="AC9" s="15" t="n">
        <x:v>31</x:v>
      </x:c>
      <x:c r="AD9" s="9" t="str">
        <x:v>cf3b0cc8ffdd0da15f23ad0824a7a5d697a2ef50f59a9089d62494bc44f9ae81</x:v>
      </x:c>
      <x:c r="AE9" s="9" t="str">
        <x:v>8a6a16198cf6cce3f6d2e78723416c631ea7ed2a086d97f51b477637d3121e1b</x:v>
      </x:c>
    </x:row>
    <x:row r="10" ht="50" customHeight="1">
      <x:c r="B10" s="12" t="str">
        <x:v>C2V8_b64_8dbc673894e1</x:v>
      </x:c>
      <x:c r="C10" s="12" t="str">
        <x:v>C2V8</x:v>
      </x:c>
      <x:c r="D10" s="18" t="n">
        <x:v>64</x:v>
      </x:c>
      <x:c r="E10" s="12" t="str">
        <x:v>latest CNU/VNU gather</x:v>
      </x:c>
      <x:c r="F10" s="12" t="str">
        <x:v>validated_RTL_and_route</x:v>
      </x:c>
      <x:c r="G10" s="13" t="n">
        <x:v>237.0671875</x:v>
      </x:c>
      <x:c r="H10" s="13" t="n">
        <x:v>23706.71875</x:v>
      </x:c>
      <x:c r="I10" s="13" t="n">
        <x:v>4199.830651989839</x:v>
      </x:c>
      <x:c r="J10" s="18" t="n">
        <x:v>105901</x:v>
      </x:c>
      <x:c r="K10" s="19" t="n">
        <x:f>IF(J10="","",J10/'Definitions and Sources'!$C$5*100)</x:f>
        <x:v>8.957656651779672</x:v>
      </x:c>
      <x:c r="L10" s="18" t="n">
        <x:v>50584</x:v>
      </x:c>
      <x:c r="M10" s="19" t="n">
        <x:f>IF(L10="","",L10/'Definitions and Sources'!$C$6*100)</x:f>
        <x:v>2.1393287318987686</x:v>
      </x:c>
      <x:c r="N10" s="13" t="n">
        <x:v>637</x:v>
      </x:c>
      <x:c r="O10" s="19" t="n">
        <x:f>IF(N10="","",N10/'Definitions and Sources'!$C$7*100)</x:f>
        <x:v>14.74537037037037</x:v>
      </x:c>
      <x:c r="P10" s="13" t="n">
        <x:v>318.5</x:v>
      </x:c>
      <x:c r="Q10" s="18" t="n">
        <x:v>1</x:v>
      </x:c>
      <x:c r="R10" s="19" t="n">
        <x:f>IF(Q10="","",Q10/'Definitions and Sources'!$C$9*100)</x:f>
        <x:v>0.014619883040935673</x:v>
      </x:c>
      <x:c r="S10" s="13" t="n">
        <x:v>4.308</x:v>
      </x:c>
      <x:c r="T10" s="13" t="n">
        <x:v>1.813</x:v>
      </x:c>
      <x:c r="U10" s="13" t="n">
        <x:v>2.495</x:v>
      </x:c>
      <x:c r="V10" s="13" t="n">
        <x:v>1025.7556451612904</x:v>
      </x:c>
      <x:c r="W10" s="13" t="n">
        <x:v>974.8910519939274</x:v>
      </x:c>
      <x:c r="X10" s="18" t="n">
        <x:v>13476</x:v>
      </x:c>
      <x:c r="Y10" s="18" t="n">
        <x:v>31521</x:v>
      </x:c>
      <x:c r="Z10" s="18" t="n">
        <x:v>758615</x:v>
      </x:c>
      <x:c r="AA10" s="18" t="n">
        <x:v>32</x:v>
      </x:c>
      <x:c r="AB10" s="18" t="n">
        <x:v>738125</x:v>
      </x:c>
      <x:c r="AC10" s="18" t="n">
        <x:v>31</x:v>
      </x:c>
      <x:c r="AD10" s="12" t="str">
        <x:v>8dbc673894e1adf94c0a3d6e413907542643a1440cef5660e647d9353f0e5077</x:v>
      </x:c>
      <x:c r="AE10" s="12" t="str">
        <x:v>2ad7777c3d5200af9d11ff1238caa796c8eeaae9f622964232ff467e23037d8a</x:v>
      </x:c>
    </x:row>
    <x:row r="11" ht="50" customHeight="1">
      <x:c r="B11" s="9" t="str">
        <x:v>C4V2_b128_e032b2ca55b3</x:v>
      </x:c>
      <x:c r="C11" s="9" t="str">
        <x:v>C4V2</x:v>
      </x:c>
      <x:c r="D11" s="15" t="n">
        <x:v>128</x:v>
      </x:c>
      <x:c r="E11" s="9" t="str">
        <x:v>latest CNU/VNU gather</x:v>
      </x:c>
      <x:c r="F11" s="9" t="str">
        <x:v>validated_RTL_and_route</x:v>
      </x:c>
      <x:c r="G11" s="11" t="n">
        <x:v>456.3728125</x:v>
      </x:c>
      <x:c r="H11" s="11" t="n">
        <x:v>45637.28125</x:v>
      </x:c>
      <x:c r="I11" s="11" t="n">
        <x:v>2181.364253350681</x:v>
      </x:c>
      <x:c r="J11" s="15" t="n">
        <x:v>108970</x:v>
      </x:c>
      <x:c r="K11" s="17" t="n">
        <x:f>IF(J11="","",J11/'Definitions and Sources'!$C$5*100)</x:f>
        <x:v>9.217248612802816</x:v>
      </x:c>
      <x:c r="L11" s="15" t="n">
        <x:v>47711</x:v>
      </x:c>
      <x:c r="M11" s="17" t="n">
        <x:f>IF(L11="","",L11/'Definitions and Sources'!$C$6*100)</x:f>
        <x:v>2.0178221004195427</x:v>
      </x:c>
      <x:c r="N11" s="11" t="n">
        <x:v>2443</x:v>
      </x:c>
      <x:c r="O11" s="17" t="n">
        <x:f>IF(N11="","",N11/'Definitions and Sources'!$C$7*100)</x:f>
        <x:v>56.550925925925924</x:v>
      </x:c>
      <x:c r="P11" s="11" t="n">
        <x:v>1221.5</x:v>
      </x:c>
      <x:c r="Q11" s="15" t="n">
        <x:v>1</x:v>
      </x:c>
      <x:c r="R11" s="17" t="n">
        <x:f>IF(Q11="","",Q11/'Definitions and Sources'!$C$9*100)</x:f>
        <x:v>0.014619883040935673</x:v>
      </x:c>
      <x:c r="S11" s="11" t="n">
        <x:v>5.425</x:v>
      </x:c>
      <x:c r="T11" s="11" t="n">
        <x:v>2.913</x:v>
      </x:c>
      <x:c r="U11" s="11" t="n">
        <x:v>2.513</x:v>
      </x:c>
      <x:c r="V11" s="11" t="n">
        <x:v>2486.97575</x:v>
      </x:c>
      <x:c r="W11" s="11" t="n">
        <x:v>402.0947932443652</x:v>
      </x:c>
      <x:c r="X11" s="15" t="n">
        <x:v>21372</x:v>
      </x:c>
      <x:c r="Y11" s="15" t="n">
        <x:v>64281</x:v>
      </x:c>
      <x:c r="Z11" s="15" t="n">
        <x:v>1460393</x:v>
      </x:c>
      <x:c r="AA11" s="15" t="n">
        <x:v>32</x:v>
      </x:c>
      <x:c r="AB11" s="15" t="n">
        <x:v>1421129</x:v>
      </x:c>
      <x:c r="AC11" s="15" t="n">
        <x:v>31</x:v>
      </x:c>
      <x:c r="AD11" s="9" t="str">
        <x:v>e032b2ca55b3e6e12a02697ec8a0bc53c57c3175536010479bd28bff1e7935de</x:v>
      </x:c>
      <x:c r="AE11" s="9" t="str">
        <x:v>6ed59690456ac7533a2532e4e15fce4eb14db7fc55959580bff3d3536a484ba8</x:v>
      </x:c>
    </x:row>
    <x:row r="12" ht="50" customHeight="1">
      <x:c r="B12" s="12" t="str">
        <x:v>C4V4_b128_4a101f3d535b</x:v>
      </x:c>
      <x:c r="C12" s="12" t="str">
        <x:v>C4V4</x:v>
      </x:c>
      <x:c r="D12" s="18" t="n">
        <x:v>128</x:v>
      </x:c>
      <x:c r="E12" s="12" t="str">
        <x:v>latest CNU/VNU gather</x:v>
      </x:c>
      <x:c r="F12" s="12" t="str">
        <x:v>validated_RTL_and_route</x:v>
      </x:c>
      <x:c r="G12" s="13" t="n">
        <x:v>299.2228125</x:v>
      </x:c>
      <x:c r="H12" s="13" t="n">
        <x:v>29922.28125</x:v>
      </x:c>
      <x:c r="I12" s="13" t="n">
        <x:v>3327.2905443769328</x:v>
      </x:c>
      <x:c r="J12" s="18" t="n">
        <x:v>163607</x:v>
      </x:c>
      <x:c r="K12" s="19" t="n">
        <x:f>IF(J12="","",J12/'Definitions and Sources'!$C$5*100)</x:f>
        <x:v>13.838729868723778</x:v>
      </x:c>
      <x:c r="L12" s="18" t="n">
        <x:v>56001</x:v>
      </x:c>
      <x:c r="M12" s="19" t="n">
        <x:f>IF(L12="","",L12/'Definitions and Sources'!$C$6*100)</x:f>
        <x:v>2.368427730410069</x:v>
      </x:c>
      <x:c r="N12" s="13" t="n">
        <x:v>693</x:v>
      </x:c>
      <x:c r="O12" s="19" t="n">
        <x:f>IF(N12="","",N12/'Definitions and Sources'!$C$7*100)</x:f>
        <x:v>16.041666666666668</x:v>
      </x:c>
      <x:c r="P12" s="13" t="n">
        <x:v>346.5</x:v>
      </x:c>
      <x:c r="Q12" s="18" t="n">
        <x:v>1</x:v>
      </x:c>
      <x:c r="R12" s="19" t="n">
        <x:f>IF(Q12="","",Q12/'Definitions and Sources'!$C$9*100)</x:f>
        <x:v>0.014619883040935673</x:v>
      </x:c>
      <x:c r="S12" s="13" t="n">
        <x:v>5.453</x:v>
      </x:c>
      <x:c r="T12" s="13" t="n">
        <x:v>2.941</x:v>
      </x:c>
      <x:c r="U12" s="13" t="n">
        <x:v>2.512</x:v>
      </x:c>
      <x:c r="V12" s="13" t="n">
        <x:v>1638.871005483871</x:v>
      </x:c>
      <x:c r="W12" s="13" t="n">
        <x:v>610.1761497115226</x:v>
      </x:c>
      <x:c r="X12" s="18" t="n">
        <x:v>15772</x:v>
      </x:c>
      <x:c r="Y12" s="18" t="n">
        <x:v>40761</x:v>
      </x:c>
      <x:c r="Z12" s="18" t="n">
        <x:v>957513</x:v>
      </x:c>
      <x:c r="AA12" s="18" t="n">
        <x:v>32</x:v>
      </x:c>
      <x:c r="AB12" s="18" t="n">
        <x:v>931689</x:v>
      </x:c>
      <x:c r="AC12" s="18" t="n">
        <x:v>31</x:v>
      </x:c>
      <x:c r="AD12" s="12" t="str">
        <x:v>4a101f3d535bdc24279c627475c31521f58c6e4e5933c37b27885752d4640e76</x:v>
      </x:c>
      <x:c r="AE12" s="12" t="str">
        <x:v>0d8cff2a8f7049d69a88db328fbb42f1bef532f556eed3c6e8a9499dc9c415fe</x:v>
      </x:c>
    </x:row>
    <x:row r="13" ht="50" customHeight="1">
      <x:c r="B13" s="9" t="str">
        <x:v>C4V8_b128_4957425c0ed6</x:v>
      </x:c>
      <x:c r="C13" s="9" t="str">
        <x:v>C4V8</x:v>
      </x:c>
      <x:c r="D13" s="15" t="n">
        <x:v>128</x:v>
      </x:c>
      <x:c r="E13" s="9" t="str">
        <x:v>latest CNU/VNU gather</x:v>
      </x:c>
      <x:c r="F13" s="9" t="str">
        <x:v>validated_RTL_and_route</x:v>
      </x:c>
      <x:c r="G13" s="11" t="n">
        <x:v>220.6478125</x:v>
      </x:c>
      <x:c r="H13" s="11" t="n">
        <x:v>22064.78125</x:v>
      </x:c>
      <x:c r="I13" s="11" t="n">
        <x:v>4512.576258899601</x:v>
      </x:c>
      <x:c r="J13" s="15" t="n">
        <x:v>176779</x:v>
      </x:c>
      <x:c r="K13" s="17" t="n">
        <x:f>IF(J13="","",J13/'Definitions and Sources'!$C$5*100)</x:f>
        <x:v>14.952886046826364</x:v>
      </x:c>
      <x:c r="L13" s="15" t="n">
        <x:v>58611</x:v>
      </x:c>
      <x:c r="M13" s="17" t="n">
        <x:f>IF(L13="","",L13/'Definitions and Sources'!$C$6*100)</x:f>
        <x:v>2.4788114088509947</x:v>
      </x:c>
      <x:c r="N13" s="11" t="n">
        <x:v>701</x:v>
      </x:c>
      <x:c r="O13" s="17" t="n">
        <x:f>IF(N13="","",N13/'Definitions and Sources'!$C$7*100)</x:f>
        <x:v>16.22685185185185</x:v>
      </x:c>
      <x:c r="P13" s="11" t="n">
        <x:v>350.5</x:v>
      </x:c>
      <x:c r="Q13" s="15" t="n">
        <x:v>1</x:v>
      </x:c>
      <x:c r="R13" s="17" t="n">
        <x:f>IF(Q13="","",Q13/'Definitions and Sources'!$C$9*100)</x:f>
        <x:v>0.014619883040935673</x:v>
      </x:c>
      <x:c r="S13" s="11" t="n">
        <x:v>4.741</x:v>
      </x:c>
      <x:c r="T13" s="11" t="n">
        <x:v>2.239</x:v>
      </x:c>
      <x:c r="U13" s="11" t="n">
        <x:v>2.502</x:v>
      </x:c>
      <x:c r="V13" s="11" t="n">
        <x:v>1050.619364193548</x:v>
      </x:c>
      <x:c r="W13" s="11" t="n">
        <x:v>951.8195019826201</x:v>
      </x:c>
      <x:c r="X13" s="15" t="n">
        <x:v>12972</x:v>
      </x:c>
      <x:c r="Y13" s="15" t="n">
        <x:v>29001</x:v>
      </x:c>
      <x:c r="Z13" s="15" t="n">
        <x:v>706073</x:v>
      </x:c>
      <x:c r="AA13" s="15" t="n">
        <x:v>32</x:v>
      </x:c>
      <x:c r="AB13" s="15" t="n">
        <x:v>686969</x:v>
      </x:c>
      <x:c r="AC13" s="15" t="n">
        <x:v>31</x:v>
      </x:c>
      <x:c r="AD13" s="9" t="str">
        <x:v>4957425c0ed6dee2697046ea42758fc4f20e780c45d6af07759506bfbee04e93</x:v>
      </x:c>
      <x:c r="AE13" s="9" t="str">
        <x:v>78c6ecdf43d6c3855d278cb8f136d62012c9e9bfbc7f15adf4933a6169935fc5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6700000762939453" hidden="0" customWidth="1"/>
    <x:col min="2" max="2" width="23.329999923706055" hidden="0" customWidth="1"/>
    <x:col min="3" max="3" width="23.329999923706055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35.560001373291016" hidden="0" customWidth="1"/>
    <x:col min="12" max="12" width="35.560001373291016" hidden="0" customWidth="1"/>
    <x:col min="13" max="13" width="35.560001373291016" hidden="0" customWidth="1"/>
  </x:cols>
  <x:sheetData>
    <x:row r="2" ht="30" customHeight="1">
      <x:c r="B2" s="1" t="str">
        <x:v>Same32 full-decoder timing</x:v>
      </x:c>
    </x:row>
    <x:row r="4" ht="48" customHeight="1">
      <x:c r="B4" s="7" t="str">
        <x:v>implementation</x:v>
      </x:c>
      <x:c r="C4" s="7" t="str">
        <x:v>host</x:v>
      </x:c>
      <x:c r="D4" s="7" t="str">
        <x:v>threads</x:v>
      </x:c>
      <x:c r="E4" s="7" t="str">
        <x:v>latency mean us</x:v>
      </x:c>
      <x:c r="F4" s="7" t="str">
        <x:v>latency median us</x:v>
      </x:c>
      <x:c r="G4" s="7" t="str">
        <x:v>latency p95 us</x:v>
      </x:c>
      <x:c r="H4" s="7" t="str">
        <x:v>latency min us</x:v>
      </x:c>
      <x:c r="I4" s="7" t="str">
        <x:v>latency max us</x:v>
      </x:c>
      <x:c r="J4" s="7" t="str">
        <x:v>throughput frames s</x:v>
      </x:c>
      <x:c r="K4" s="7" t="str">
        <x:v>throughput basis</x:v>
      </x:c>
      <x:c r="L4" s="7" t="str">
        <x:v>cycles status</x:v>
      </x:c>
      <x:c r="M4" s="7" t="str">
        <x:v>boundary</x:v>
      </x:c>
    </x:row>
    <x:row r="5" ht="50" customHeight="1">
      <x:c r="B5" s="9" t="str">
        <x:v>CPU hls-c-1</x:v>
      </x:c>
      <x:c r="C5" s="9" t="str">
        <x:v>Supernova</x:v>
      </x:c>
      <x:c r="D5" s="15" t="n">
        <x:v>1</x:v>
      </x:c>
      <x:c r="E5" s="11" t="n">
        <x:v>13942.776925</x:v>
      </x:c>
      <x:c r="F5" s="11" t="n">
        <x:v>13921.964</x:v>
      </x:c>
      <x:c r="G5" s="11" t="n">
        <x:v>21281.066749999998</x:v>
      </x:c>
      <x:c r="H5" s="11" t="n">
        <x:v>4414.032</x:v>
      </x:c>
      <x:c r="I5" s="11" t="n">
        <x:v>21352.174</x:v>
      </x:c>
      <x:c r="J5" s="11" t="n">
        <x:v>71.72172411415096</x:v>
      </x:c>
      <x:c r="K5" s="9" t="str">
        <x:v>reciprocal of mean per-call time; not independently measured sustained throughput</x:v>
      </x:c>
      <x:c r="L5" s="9" t="str">
        <x:v>CPU/GPU hardware cycles not measured</x:v>
      </x:c>
      <x:c r="M5" s="9" t="str">
        <x:v>resident_packed_inputs_to_resident_five_outputs</x:v>
      </x:c>
    </x:row>
    <x:row r="6" ht="50" customHeight="1">
      <x:c r="B6" s="12" t="str">
        <x:v>CPU scalar-1</x:v>
      </x:c>
      <x:c r="C6" s="12" t="str">
        <x:v>Supernova</x:v>
      </x:c>
      <x:c r="D6" s="18" t="n">
        <x:v>1</x:v>
      </x:c>
      <x:c r="E6" s="13" t="n">
        <x:v>1053.44905625</x:v>
      </x:c>
      <x:c r="F6" s="13" t="n">
        <x:v>1054.71</x:v>
      </x:c>
      <x:c r="G6" s="13" t="n">
        <x:v>1605.01155</x:v>
      </x:c>
      <x:c r="H6" s="13" t="n">
        <x:v>332.71</x:v>
      </x:c>
      <x:c r="I6" s="13" t="n">
        <x:v>1611.091</x:v>
      </x:c>
      <x:c r="J6" s="13" t="n">
        <x:v>949.2627992470138</x:v>
      </x:c>
      <x:c r="K6" s="12" t="str">
        <x:v>reciprocal of mean per-call time; not independently measured sustained throughput</x:v>
      </x:c>
      <x:c r="L6" s="12" t="str">
        <x:v>CPU/GPU hardware cycles not measured</x:v>
      </x:c>
      <x:c r="M6" s="12" t="str">
        <x:v>resident_packed_inputs_to_resident_five_outputs</x:v>
      </x:c>
    </x:row>
    <x:row r="7" ht="50" customHeight="1">
      <x:c r="B7" s="9" t="str">
        <x:v>CPU simd-1</x:v>
      </x:c>
      <x:c r="C7" s="9" t="str">
        <x:v>Supernova</x:v>
      </x:c>
      <x:c r="D7" s="15" t="n">
        <x:v>1</x:v>
      </x:c>
      <x:c r="E7" s="11" t="n">
        <x:v>901.4773125</x:v>
      </x:c>
      <x:c r="F7" s="11" t="n">
        <x:v>901.3695</x:v>
      </x:c>
      <x:c r="G7" s="11" t="n">
        <x:v>1373.5004999999999</x:v>
      </x:c>
      <x:c r="H7" s="11" t="n">
        <x:v>288.354</x:v>
      </x:c>
      <x:c r="I7" s="11" t="n">
        <x:v>1382.407</x:v>
      </x:c>
      <x:c r="J7" s="11" t="n">
        <x:v>1109.290257374059</x:v>
      </x:c>
      <x:c r="K7" s="9" t="str">
        <x:v>reciprocal of mean per-call time; not independently measured sustained throughput</x:v>
      </x:c>
      <x:c r="L7" s="9" t="str">
        <x:v>CPU/GPU hardware cycles not measured</x:v>
      </x:c>
      <x:c r="M7" s="9" t="str">
        <x:v>resident_packed_inputs_to_resident_five_outputs</x:v>
      </x:c>
    </x:row>
    <x:row r="8" ht="50" customHeight="1">
      <x:c r="B8" s="12" t="str">
        <x:v>CPU simd-4</x:v>
      </x:c>
      <x:c r="C8" s="12" t="str">
        <x:v>Supernova</x:v>
      </x:c>
      <x:c r="D8" s="18" t="n">
        <x:v>4</x:v>
      </x:c>
      <x:c r="E8" s="13" t="n">
        <x:v>1411.875525</x:v>
      </x:c>
      <x:c r="F8" s="13" t="n">
        <x:v>1440.69</x:v>
      </x:c>
      <x:c r="G8" s="13" t="n">
        <x:v>2362.8764</x:v>
      </x:c>
      <x:c r="H8" s="13" t="n">
        <x:v>399.069</x:v>
      </x:c>
      <x:c r="I8" s="13" t="n">
        <x:v>2752.796</x:v>
      </x:c>
      <x:c r="J8" s="13" t="n">
        <x:v>708.2777357444454</x:v>
      </x:c>
      <x:c r="K8" s="12" t="str">
        <x:v>reciprocal of mean per-call time; not independently measured sustained throughput</x:v>
      </x:c>
      <x:c r="L8" s="12" t="str">
        <x:v>CPU/GPU hardware cycles not measured</x:v>
      </x:c>
      <x:c r="M8" s="12" t="str">
        <x:v>resident_packed_inputs_to_resident_five_outputs</x:v>
      </x:c>
    </x:row>
    <x:row r="9" ht="50" customHeight="1">
      <x:c r="B9" s="9" t="str">
        <x:v>CPU simd-8</x:v>
      </x:c>
      <x:c r="C9" s="9" t="str">
        <x:v>Supernova</x:v>
      </x:c>
      <x:c r="D9" s="15" t="n">
        <x:v>8</x:v>
      </x:c>
      <x:c r="E9" s="11" t="n">
        <x:v>1769.30483125</x:v>
      </x:c>
      <x:c r="F9" s="11" t="n">
        <x:v>1759.6485</x:v>
      </x:c>
      <x:c r="G9" s="11" t="n">
        <x:v>2693.6623000000004</x:v>
      </x:c>
      <x:c r="H9" s="11" t="n">
        <x:v>541.414</x:v>
      </x:c>
      <x:c r="I9" s="11" t="n">
        <x:v>2803.352</x:v>
      </x:c>
      <x:c r="J9" s="11" t="n">
        <x:v>565.193731649683</x:v>
      </x:c>
      <x:c r="K9" s="9" t="str">
        <x:v>reciprocal of mean per-call time; not independently measured sustained throughput</x:v>
      </x:c>
      <x:c r="L9" s="9" t="str">
        <x:v>CPU/GPU hardware cycles not measured</x:v>
      </x:c>
      <x:c r="M9" s="9" t="str">
        <x:v>resident_packed_inputs_to_resident_five_outputs</x:v>
      </x:c>
    </x:row>
    <x:row r="10" ht="50" customHeight="1">
      <x:c r="B10" s="12" t="str">
        <x:v>GPU device</x:v>
      </x:c>
      <x:c r="C10" s="12" t="str">
        <x:v>Bahama</x:v>
      </x:c>
      <x:c r="D10" s="18"/>
      <x:c r="E10" s="13" t="n">
        <x:v>255.37000261247158</x:v>
      </x:c>
      <x:c r="F10" s="13" t="n">
        <x:v>254.97600436210632</x:v>
      </x:c>
      <x:c r="G10" s="13" t="n">
        <x:v>309.2480003833771</x:v>
      </x:c>
      <x:c r="H10" s="13" t="n">
        <x:v>183.29599499702454</x:v>
      </x:c>
      <x:c r="I10" s="13" t="n">
        <x:v>311.2959861755371</x:v>
      </x:c>
      <x:c r="J10" s="13" t="n">
        <x:v>3915.8867124950357</x:v>
      </x:c>
      <x:c r="K10" s="12" t="str">
        <x:v>reciprocal of mean per-call time; not independently measured sustained throughput</x:v>
      </x:c>
      <x:c r="L10" s="12" t="str">
        <x:v>CPU/GPU hardware cycles not measured</x:v>
      </x:c>
      <x:c r="M10" s="12" t="str">
        <x:v>resident_packed_inputs_to_resident_five_outputs</x:v>
      </x:c>
    </x:row>
    <x:row r="11" ht="50" customHeight="1">
      <x:c r="B11" s="9" t="str">
        <x:v>GPU with transfers</x:v>
      </x:c>
      <x:c r="C11" s="9" t="str">
        <x:v>Bahama</x:v>
      </x:c>
      <x:c r="D11" s="15"/>
      <x:c r="E11" s="11" t="n">
        <x:v>295.82328125</x:v>
      </x:c>
      <x:c r="F11" s="11" t="n">
        <x:v>293.86400000000003</x:v>
      </x:c>
      <x:c r="G11" s="11" t="n">
        <x:v>343.4243</x:v>
      </x:c>
      <x:c r="H11" s="11" t="n">
        <x:v>217.122</x:v>
      </x:c>
      <x:c r="I11" s="11" t="n">
        <x:v>821.257</x:v>
      </x:c>
      <x:c r="J11" s="11" t="n">
        <x:v>3380.396552206792</x:v>
      </x:c>
      <x:c r="K11" s="9" t="str">
        <x:v>reciprocal of mean per-call time; not independently measured sustained throughput</x:v>
      </x:c>
      <x:c r="L11" s="9" t="str">
        <x:v>CPU/GPU hardware cycles not measured</x:v>
      </x:c>
      <x:c r="M11" s="9" t="str">
        <x:v>pinned_host_packed_inputs_H2D_graph_D2H_synchronize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670000076293945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35.560001373291016" hidden="0" customWidth="1"/>
    <x:col min="7" max="7" width="35.560001373291016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</x:cols>
  <x:sheetData>
    <x:row r="2" ht="30" customHeight="1">
      <x:c r="B2" s="1" t="str">
        <x:v>Device energy and FPGA estimates</x:v>
      </x:c>
    </x:row>
    <x:row r="4" ht="48" customHeight="1">
      <x:c r="B4" s="7" t="str">
        <x:v>platform</x:v>
      </x:c>
      <x:c r="C4" s="7" t="str">
        <x:v>power W</x:v>
      </x:c>
      <x:c r="D4" s="7" t="str">
        <x:v>gross uJ per frame</x:v>
      </x:c>
      <x:c r="E4" s="7" t="str">
        <x:v>frames per J</x:v>
      </x:c>
      <x:c r="F4" s="7" t="str">
        <x:v>evidence</x:v>
      </x:c>
      <x:c r="G4" s="7" t="str">
        <x:v>boundary</x:v>
      </x:c>
    </x:row>
    <x:row r="5" ht="64" customHeight="1">
      <x:c r="B5" s="9" t="str">
        <x:v>CPU / Supernova EPYC 9554 simd-1</x:v>
      </x:c>
      <x:c r="C5" s="11" t="n">
        <x:v>235.52205736808685</x:v>
      </x:c>
      <x:c r="D5" s="11" t="n">
        <x:v>212128.64067577035</x:v>
      </x:c>
      <x:c r="E5" s="11" t="n">
        <x:v>4.714120624232244</x:v>
      </x:c>
      <x:c r="F5" s="9" t="str">
        <x:v>Measured CPU package counters</x:v>
      </x:c>
      <x:c r="G5" s="9" t="str">
        <x:v>Both CPU packages; includes shared background</x:v>
      </x:c>
    </x:row>
    <x:row r="6" ht="64" customHeight="1">
      <x:c r="B6" s="12" t="str">
        <x:v>GPU / Bahama L40S / resident</x:v>
      </x:c>
      <x:c r="C6" s="13" t="n">
        <x:v>99.86605540294245</x:v>
      </x:c>
      <x:c r="D6" s="13" t="n">
        <x:v>24717.706959102903</x:v>
      </x:c>
      <x:c r="E6" s="13" t="n">
        <x:v>40.456827231367654</x:v>
      </x:c>
      <x:c r="F6" s="12" t="str">
        <x:v>Measured GPU device counters</x:v>
      </x:c>
      <x:c r="G6" s="12" t="str">
        <x:v>GPU device; excludes host CPU/RAM</x:v>
      </x:c>
    </x:row>
    <x:row r="7" ht="64" customHeight="1">
      <x:c r="B7" s="9" t="str">
        <x:v>GPU / Bahama L40S / host_transfer</x:v>
      </x:c>
      <x:c r="C7" s="11" t="n">
        <x:v>100.28673958513926</x:v>
      </x:c>
      <x:c r="D7" s="11" t="n">
        <x:v>26962.016475644697</x:v>
      </x:c>
      <x:c r="E7" s="11" t="n">
        <x:v>37.08921403943651</x:v>
      </x:c>
      <x:c r="F7" s="9" t="str">
        <x:v>Measured GPU device counters</x:v>
      </x:c>
      <x:c r="G7" s="9" t="str">
        <x:v>GPU device; excludes host CPU/RAM</x:v>
      </x:c>
    </x:row>
    <x:row r="8" ht="64" customHeight="1">
      <x:c r="B8" s="12" t="str">
        <x:v>FPGA / RelayHLS C4V8 b128</x:v>
      </x:c>
      <x:c r="C8" s="13" t="n">
        <x:v>4.741</x:v>
      </x:c>
      <x:c r="D8" s="13" t="n">
        <x:v>1050.619364193548</x:v>
      </x:c>
      <x:c r="E8" s="13" t="n">
        <x:v>951.8195019826201</x:v>
      </x:c>
      <x:c r="F8" s="12" t="str">
        <x:v>Vectorless on-chip estimate; Medium confidence</x:v>
      </x:c>
      <x:c r="G8" s="12" t="str">
        <x:v>FPGA on-chip estimate / RTL service rate</x:v>
      </x:c>
    </x:row>
    <x:row r="10">
      <x:c r="B10" t="str">
        <x:v>CPU paired-background point 3347.868 uJ/frame; sampling bounds -7939.016 to 16747.964 include zero. Not isolated decoding energy.</x:v>
      </x:c>
    </x:row>
    <x:row r="11">
      <x:c r="B11" t="str">
        <x:v>CPU gross sampling bounds 210636.019 to 214162.278 uJ/frame; not a statistical confidence interval.</x:v>
      </x:c>
    </x:row>
    <x:row r="13" ht="48" customHeight="1">
      <x:c r="B13" s="7" t="str">
        <x:v>platform</x:v>
      </x:c>
      <x:c r="C13" s="7" t="str">
        <x:v>mode</x:v>
      </x:c>
      <x:c r="D13" s="7" t="str">
        <x:v>trial</x:v>
      </x:c>
      <x:c r="E13" s="7" t="str">
        <x:v>frames</x:v>
      </x:c>
      <x:c r="F13" s="7" t="str">
        <x:v>elapsed s</x:v>
      </x:c>
      <x:c r="G13" s="7" t="str">
        <x:v>energy J</x:v>
      </x:c>
      <x:c r="H13" s="7" t="str">
        <x:v>mean device W</x:v>
      </x:c>
      <x:c r="I13" s="7" t="str">
        <x:v>gross uJ per frame</x:v>
      </x:c>
      <x:c r="J13" s="7" t="str">
        <x:v>frames per J</x:v>
      </x:c>
      <x:c r="K13" s="7" t="str">
        <x:v>paired background W</x:v>
      </x:c>
      <x:c r="L13" s="7" t="str">
        <x:v>incremental uJ per frame</x:v>
      </x:c>
      <x:c r="M13" s="7" t="str">
        <x:v>mean us per frame</x:v>
      </x:c>
    </x:row>
    <x:row r="14" ht="30" customHeight="1">
      <x:c r="B14" s="9" t="str">
        <x:v>GPU L40S</x:v>
      </x:c>
      <x:c r="C14" s="9" t="str">
        <x:v>host_transfer</x:v>
      </x:c>
      <x:c r="D14" s="15" t="n">
        <x:v>1</x:v>
      </x:c>
      <x:c r="E14" s="15" t="n">
        <x:v>44672</x:v>
      </x:c>
      <x:c r="F14" s="11" t="n">
        <x:v>12.012954480946064</x:v>
      </x:c>
      <x:c r="G14" s="11" t="n">
        <x:v>1200.664</x:v>
      </x:c>
      <x:c r="H14" s="11" t="n">
        <x:v>99.94743607031826</x:v>
      </x:c>
      <x:c r="I14" s="11" t="n">
        <x:v>26877.328080229225</x:v>
      </x:c>
      <x:c r="J14" s="11" t="n">
        <x:v>37.206079302785795</x:v>
      </x:c>
      <x:c r="K14" s="11" t="n">
        <x:v>81.88242721852309</x:v>
      </x:c>
      <x:c r="L14" s="11" t="n">
        <x:v>4857.945223730817</x:v>
      </x:c>
      <x:c r="M14" s="11" t="n">
        <x:v>268.9146329008342</x:v>
      </x:c>
    </x:row>
    <x:row r="15" ht="30" customHeight="1">
      <x:c r="B15" s="12" t="str">
        <x:v>GPU L40S</x:v>
      </x:c>
      <x:c r="C15" s="12" t="str">
        <x:v>host_transfer</x:v>
      </x:c>
      <x:c r="D15" s="18" t="n">
        <x:v>2</x:v>
      </x:c>
      <x:c r="E15" s="18" t="n">
        <x:v>44672</x:v>
      </x:c>
      <x:c r="F15" s="13" t="n">
        <x:v>12.010513298213482</x:v>
      </x:c>
      <x:c r="G15" s="13" t="n">
        <x:v>1203.235</x:v>
      </x:c>
      <x:c r="H15" s="13" t="n">
        <x:v>100.18181322683158</x:v>
      </x:c>
      <x:c r="I15" s="13" t="n">
        <x:v>26934.88090974212</x:v>
      </x:c>
      <x:c r="J15" s="13" t="n">
        <x:v>37.12657959583955</x:v>
      </x:c>
      <x:c r="K15" s="13" t="n">
        <x:v>82.0451542136507</x:v>
      </x:c>
      <x:c r="L15" s="13" t="n">
        <x:v>4876.221889840891</x:v>
      </x:c>
      <x:c r="M15" s="13" t="n">
        <x:v>268.85998608106826</x:v>
      </x:c>
    </x:row>
    <x:row r="16" ht="30" customHeight="1">
      <x:c r="B16" s="9" t="str">
        <x:v>GPU L40S</x:v>
      </x:c>
      <x:c r="C16" s="9" t="str">
        <x:v>host_transfer</x:v>
      </x:c>
      <x:c r="D16" s="15" t="n">
        <x:v>3</x:v>
      </x:c>
      <x:c r="E16" s="15" t="n">
        <x:v>44672</x:v>
      </x:c>
      <x:c r="F16" s="11" t="n">
        <x:v>12.008258368819952</x:v>
      </x:c>
      <x:c r="G16" s="11" t="n">
        <x:v>1205.162</x:v>
      </x:c>
      <x:c r="H16" s="11" t="n">
        <x:v>100.36109841950635</x:v>
      </x:c>
      <x:c r="I16" s="11" t="n">
        <x:v>26978.017550143268</x:v>
      </x:c>
      <x:c r="J16" s="11" t="n">
        <x:v>37.067215859776525</x:v>
      </x:c>
      <x:c r="K16" s="11" t="n">
        <x:v>82.1731858367671</x:v>
      </x:c>
      <x:c r="L16" s="11" t="n">
        <x:v>4889.083844086772</x:v>
      </x:c>
      <x:c r="M16" s="11" t="n">
        <x:v>268.8095086143435</x:v>
      </x:c>
    </x:row>
    <x:row r="17" ht="30" customHeight="1">
      <x:c r="B17" s="12" t="str">
        <x:v>GPU L40S</x:v>
      </x:c>
      <x:c r="C17" s="12" t="str">
        <x:v>host_transfer</x:v>
      </x:c>
      <x:c r="D17" s="18" t="n">
        <x:v>4</x:v>
      </x:c>
      <x:c r="E17" s="18" t="n">
        <x:v>44672</x:v>
      </x:c>
      <x:c r="F17" s="13" t="n">
        <x:v>12.008624874055386</x:v>
      </x:c>
      <x:c r="G17" s="13" t="n">
        <x:v>1206.263</x:v>
      </x:c>
      <x:c r="H17" s="13" t="n">
        <x:v>100.44971948504522</x:v>
      </x:c>
      <x:c r="I17" s="13" t="n">
        <x:v>27002.66386103152</x:v>
      </x:c>
      <x:c r="J17" s="13" t="n">
        <x:v>37.033383267164794</x:v>
      </x:c>
      <x:c r="K17" s="13" t="n">
        <x:v>84.40472486354636</x:v>
      </x:c>
      <x:c r="L17" s="13" t="n">
        <x:v>4313.178758860495</x:v>
      </x:c>
      <x:c r="M17" s="13" t="n">
        <x:v>268.81771297581</x:v>
      </x:c>
    </x:row>
    <x:row r="18" ht="30" customHeight="1">
      <x:c r="B18" s="9" t="str">
        <x:v>GPU L40S</x:v>
      </x:c>
      <x:c r="C18" s="9" t="str">
        <x:v>host_transfer</x:v>
      </x:c>
      <x:c r="D18" s="15" t="n">
        <x:v>5</x:v>
      </x:c>
      <x:c r="E18" s="15" t="n">
        <x:v>44672</x:v>
      </x:c>
      <x:c r="F18" s="11" t="n">
        <x:v>12.009821362793446</x:v>
      </x:c>
      <x:c r="G18" s="11" t="n">
        <x:v>1206.912</x:v>
      </x:c>
      <x:c r="H18" s="11" t="n">
        <x:v>100.49375120091513</x:v>
      </x:c>
      <x:c r="I18" s="11" t="n">
        <x:v>27017.191977077364</x:v>
      </x:c>
      <x:c r="J18" s="11" t="n">
        <x:v>37.013469084738574</x:v>
      </x:c>
      <x:c r="K18" s="11" t="n">
        <x:v>82.32633131842671</x:v>
      </x:c>
      <x:c r="L18" s="11" t="n">
        <x:v>4884.21085717111</x:v>
      </x:c>
      <x:c r="M18" s="11" t="n">
        <x:v>268.84449683903665</x:v>
      </x:c>
    </x:row>
    <x:row r="19" ht="30" customHeight="1">
      <x:c r="B19" s="12" t="str">
        <x:v>GPU L40S</x:v>
      </x:c>
      <x:c r="C19" s="12" t="str">
        <x:v>resident</x:v>
      </x:c>
      <x:c r="D19" s="18" t="n">
        <x:v>1</x:v>
      </x:c>
      <x:c r="E19" s="18" t="n">
        <x:v>48512</x:v>
      </x:c>
      <x:c r="F19" s="13" t="n">
        <x:v>12.00948478281498</x:v>
      </x:c>
      <x:c r="G19" s="13" t="n">
        <x:v>1201.071</x:v>
      </x:c>
      <x:c r="H19" s="13" t="n">
        <x:v>100.01020207949946</x:v>
      </x:c>
      <x:c r="I19" s="13" t="n">
        <x:v>24758.224769129287</x:v>
      </x:c>
      <x:c r="J19" s="13" t="n">
        <x:v>40.39061804006591</x:v>
      </x:c>
      <x:c r="K19" s="13" t="n">
        <x:v>81.45815640239772</x:v>
      </x:c>
      <x:c r="L19" s="13" t="n">
        <x:v>4592.6886182643875</x:v>
      </x:c>
      <x:c r="M19" s="13" t="n">
        <x:v>247.55699173019005</x:v>
      </x:c>
    </x:row>
    <x:row r="20" ht="30" customHeight="1">
      <x:c r="B20" s="9" t="str">
        <x:v>GPU L40S</x:v>
      </x:c>
      <x:c r="C20" s="9" t="str">
        <x:v>resident</x:v>
      </x:c>
      <x:c r="D20" s="15" t="n">
        <x:v>2</x:v>
      </x:c>
      <x:c r="E20" s="15" t="n">
        <x:v>48512</x:v>
      </x:c>
      <x:c r="F20" s="11" t="n">
        <x:v>12.00711726769805</x:v>
      </x:c>
      <x:c r="G20" s="11" t="n">
        <x:v>1190.422</x:v>
      </x:c>
      <x:c r="H20" s="11" t="n">
        <x:v>99.14303104230632</x:v>
      </x:c>
      <x:c r="I20" s="11" t="n">
        <x:v>24538.712071240105</x:v>
      </x:c>
      <x:c r="J20" s="11" t="n">
        <x:v>40.75193502808248</x:v>
      </x:c>
      <x:c r="K20" s="11" t="n">
        <x:v>82.73761740142807</x:v>
      </x:c>
      <x:c r="L20" s="11" t="n">
        <x:v>4060.4742210405348</x:v>
      </x:c>
      <x:c r="M20" s="11" t="n">
        <x:v>247.50818906039845</x:v>
      </x:c>
    </x:row>
    <x:row r="21" ht="30" customHeight="1">
      <x:c r="B21" s="12" t="str">
        <x:v>GPU L40S</x:v>
      </x:c>
      <x:c r="C21" s="12" t="str">
        <x:v>resident</x:v>
      </x:c>
      <x:c r="D21" s="18" t="n">
        <x:v>3</x:v>
      </x:c>
      <x:c r="E21" s="18" t="n">
        <x:v>48512</x:v>
      </x:c>
      <x:c r="F21" s="13" t="n">
        <x:v>12.006596267223358</x:v>
      </x:c>
      <x:c r="G21" s="13" t="n">
        <x:v>1204.055</x:v>
      </x:c>
      <x:c r="H21" s="13" t="n">
        <x:v>100.28279232532647</x:v>
      </x:c>
      <x:c r="I21" s="13" t="n">
        <x:v>24819.735323218996</x:v>
      </x:c>
      <x:c r="J21" s="13" t="n">
        <x:v>40.29051829027743</x:v>
      </x:c>
      <x:c r="K21" s="13" t="n">
        <x:v>81.01992189420999</x:v>
      </x:c>
      <x:c r="L21" s="13" t="n">
        <x:v>4767.511300590583</x:v>
      </x:c>
      <x:c r="M21" s="13" t="n">
        <x:v>247.49744943979547</x:v>
      </x:c>
    </x:row>
    <x:row r="22" ht="30" customHeight="1">
      <x:c r="B22" s="9" t="str">
        <x:v>GPU L40S</x:v>
      </x:c>
      <x:c r="C22" s="9" t="str">
        <x:v>resident</x:v>
      </x:c>
      <x:c r="D22" s="15" t="n">
        <x:v>4</x:v>
      </x:c>
      <x:c r="E22" s="15" t="n">
        <x:v>48512</x:v>
      </x:c>
      <x:c r="F22" s="11" t="n">
        <x:v>12.006222918629646</x:v>
      </x:c>
      <x:c r="G22" s="11" t="n">
        <x:v>1198.195</x:v>
      </x:c>
      <x:c r="H22" s="11" t="n">
        <x:v>99.79783051843904</x:v>
      </x:c>
      <x:c r="I22" s="11" t="n">
        <x:v>24698.940468337732</x:v>
      </x:c>
      <x:c r="J22" s="11" t="n">
        <x:v>40.48756671493371</x:v>
      </x:c>
      <x:c r="K22" s="11" t="n">
        <x:v>83.90284681776342</x:v>
      </x:c>
      <x:c r="L22" s="11" t="n">
        <x:v>3933.8455969305796</x:v>
      </x:c>
      <x:c r="M22" s="11" t="n">
        <x:v>247.48975343481297</x:v>
      </x:c>
    </x:row>
    <x:row r="23" ht="30" customHeight="1">
      <x:c r="B23" s="12" t="str">
        <x:v>GPU L40S</x:v>
      </x:c>
      <x:c r="C23" s="12" t="str">
        <x:v>resident</x:v>
      </x:c>
      <x:c r="D23" s="18" t="n">
        <x:v>5</x:v>
      </x:c>
      <x:c r="E23" s="18" t="n">
        <x:v>48512</x:v>
      </x:c>
      <x:c r="F23" s="13" t="n">
        <x:v>12.006263319402933</x:v>
      </x:c>
      <x:c r="G23" s="13" t="n">
        <x:v>1201.784</x:v>
      </x:c>
      <x:c r="H23" s="13" t="n">
        <x:v>100.09642201148762</x:v>
      </x:c>
      <x:c r="I23" s="13" t="n">
        <x:v>24772.92216358839</x:v>
      </x:c>
      <x:c r="J23" s="13" t="n">
        <x:v>40.366654906372524</x:v>
      </x:c>
      <x:c r="K23" s="13" t="n">
        <x:v>82.02249262412712</x:v>
      </x:c>
      <x:c r="L23" s="13" t="n">
        <x:v>4473.127379636894</x:v>
      </x:c>
      <x:c r="M23" s="13" t="n">
        <x:v>247.49058623439424</x:v>
      </x:c>
    </x:row>
    <x:row r="26">
      <x:c r="B26" t="str">
        <x:v>CPU package energy: five matching active windows</x:v>
      </x:c>
    </x:row>
    <x:row r="28" ht="48" customHeight="1">
      <x:c r="B28" s="7" t="str">
        <x:v>trial</x:v>
      </x:c>
      <x:c r="C28" s="7" t="str">
        <x:v>frames</x:v>
      </x:c>
      <x:c r="D28" s="7" t="str">
        <x:v>elapsed s</x:v>
      </x:c>
      <x:c r="E28" s="7" t="str">
        <x:v>energy J</x:v>
      </x:c>
      <x:c r="F28" s="7" t="str">
        <x:v>mean package W</x:v>
      </x:c>
      <x:c r="G28" s="7" t="str">
        <x:v>gross uJ per frame</x:v>
      </x:c>
      <x:c r="H28" s="7" t="str">
        <x:v>frames per J</x:v>
      </x:c>
      <x:c r="I28" s="7" t="str">
        <x:v>paired background W</x:v>
      </x:c>
      <x:c r="J28" s="7" t="str">
        <x:v>incremental uJ per frame</x:v>
      </x:c>
      <x:c r="K28" s="7" t="str">
        <x:v>energy lower J</x:v>
      </x:c>
      <x:c r="L28" s="7" t="str">
        <x:v>energy upper J</x:v>
      </x:c>
    </x:row>
    <x:row r="29" ht="30" customHeight="1">
      <x:c r="B29" s="15" t="n">
        <x:v>1</x:v>
      </x:c>
      <x:c r="C29" s="15" t="n">
        <x:v>13344</x:v>
      </x:c>
      <x:c r="D29" s="11" t="n">
        <x:v>12.017198278917931</x:v>
      </x:c>
      <x:c r="E29" s="11" t="n">
        <x:v>2826.3937334405746</x:v>
      </x:c>
      <x:c r="F29" s="11" t="n">
        <x:v>235.19573097158488</x:v>
      </x:c>
      <x:c r="G29" s="11" t="n">
        <x:v>211810.0819424891</x:v>
      </x:c>
      <x:c r="H29" s="11" t="n">
        <x:v>4.721210580861402</x:v>
      </x:c>
      <x:c r="I29" s="11" t="n">
        <x:v>232.47696850444527</x:v>
      </x:c>
      <x:c r="J29" s="11" t="n">
        <x:v>2448.4343256067696</x:v>
      </x:c>
      <x:c r="K29" s="11" t="n">
        <x:v>2816.158853</x:v>
      </x:c>
      <x:c r="L29" s="11" t="n">
        <x:v>2863.053232</x:v>
      </x:c>
    </x:row>
    <x:row r="30" ht="30" customHeight="1">
      <x:c r="B30" s="18" t="n">
        <x:v>2</x:v>
      </x:c>
      <x:c r="C30" s="18" t="n">
        <x:v>13344</x:v>
      </x:c>
      <x:c r="D30" s="13" t="n">
        <x:v>12.017704871017486</x:v>
      </x:c>
      <x:c r="E30" s="13" t="n">
        <x:v>2831.195334907833</x:v>
      </x:c>
      <x:c r="F30" s="13" t="n">
        <x:v>235.58536054048798</x:v>
      </x:c>
      <x:c r="G30" s="13" t="n">
        <x:v>212169.91418673808</x:v>
      </x:c>
      <x:c r="H30" s="13" t="n">
        <x:v>4.713203584179543</x:v>
      </x:c>
      <x:c r="I30" s="13" t="n">
        <x:v>231.3384185547271</x:v>
      </x:c>
      <x:c r="J30" s="13" t="n">
        <x:v>3824.827292356649</x:v>
      </x:c>
      <x:c r="K30" s="13" t="n">
        <x:v>2797.024008</x:v>
      </x:c>
      <x:c r="L30" s="13" t="n">
        <x:v>2844.201699</x:v>
      </x:c>
    </x:row>
    <x:row r="31" ht="30" customHeight="1">
      <x:c r="B31" s="15" t="n">
        <x:v>3</x:v>
      </x:c>
      <x:c r="C31" s="15" t="n">
        <x:v>13344</x:v>
      </x:c>
      <x:c r="D31" s="11" t="n">
        <x:v>12.020258434931748</x:v>
      </x:c>
      <x:c r="E31" s="11" t="n">
        <x:v>2833.6074032923834</x:v>
      </x:c>
      <x:c r="F31" s="11" t="n">
        <x:v>235.73598010652697</x:v>
      </x:c>
      <x:c r="G31" s="11" t="n">
        <x:v>212350.674707163</x:v>
      </x:c>
      <x:c r="H31" s="11" t="n">
        <x:v>4.709191536024199</x:v>
      </x:c>
      <x:c r="I31" s="11" t="n">
        <x:v>231.82753602640656</x:v>
      </x:c>
      <x:c r="J31" s="11" t="n">
        <x:v>3520.721516900942</x:v>
      </x:c>
      <x:c r="K31" s="11" t="n">
        <x:v>2799.295405</x:v>
      </x:c>
      <x:c r="L31" s="11" t="n">
        <x:v>2846.547753</x:v>
      </x:c>
    </x:row>
    <x:row r="32" ht="30" customHeight="1">
      <x:c r="B32" s="18" t="n">
        <x:v>4</x:v>
      </x:c>
      <x:c r="C32" s="18" t="n">
        <x:v>13344</x:v>
      </x:c>
      <x:c r="D32" s="13" t="n">
        <x:v>12.018288727966137</x:v>
      </x:c>
      <x:c r="E32" s="13" t="n">
        <x:v>2834.597729823226</x:v>
      </x:c>
      <x:c r="F32" s="13" t="n">
        <x:v>235.8570170832405</x:v>
      </x:c>
      <x:c r="G32" s="13" t="n">
        <x:v>212424.88982488203</x:v>
      </x:c>
      <x:c r="H32" s="13" t="n">
        <x:v>4.70754628059064</x:v>
      </x:c>
      <x:c r="I32" s="13" t="n">
        <x:v>231.8338061860543</x:v>
      </x:c>
      <x:c r="J32" s="13" t="n">
        <x:v>3623.509455626784</x:v>
      </x:c>
      <x:c r="K32" s="13" t="n">
        <x:v>2824.262208</x:v>
      </x:c>
      <x:c r="L32" s="13" t="n">
        <x:v>2871.134495</x:v>
      </x:c>
    </x:row>
    <x:row r="33" ht="30" customHeight="1">
      <x:c r="B33" s="15" t="n">
        <x:v>5</x:v>
      </x:c>
      <x:c r="C33" s="15" t="n">
        <x:v>13344</x:v>
      </x:c>
      <x:c r="D33" s="11" t="n">
        <x:v>12.019532331964001</x:v>
      </x:c>
      <x:c r="E33" s="11" t="n">
        <x:v>2827.4287044233806</x:v>
      </x:c>
      <x:c r="F33" s="11" t="n">
        <x:v>235.2361661280524</x:v>
      </x:c>
      <x:c r="G33" s="11" t="n">
        <x:v>211887.6427175795</x:v>
      </x:c>
      <x:c r="H33" s="11" t="n">
        <x:v>4.719482397248048</x:v>
      </x:c>
      <x:c r="I33" s="11" t="n">
        <x:v>231.5482769736651</x:v>
      </x:c>
      <x:c r="J33" s="11" t="n">
        <x:v>3321.8452433945777</x:v>
      </x:c>
      <x:c r="K33" s="11" t="n">
        <x:v>2816.8947</x:v>
      </x:c>
      <x:c r="L33" s="11" t="n">
        <x:v>2863.970025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6700000762939453" hidden="0" customWidth="1"/>
    <x:col min="2" max="2" width="11.109999656677246" hidden="0" customWidth="1"/>
    <x:col min="3" max="3" width="10" hidden="0" customWidth="1"/>
    <x:col min="4" max="4" width="8.890000343322754" hidden="0" customWidth="1"/>
    <x:col min="5" max="5" width="21.110000610351562" hidden="0" customWidth="1"/>
    <x:col min="6" max="6" width="11.109999656677246" hidden="0" customWidth="1"/>
    <x:col min="7" max="7" width="12.220000267028809" hidden="0" customWidth="1"/>
    <x:col min="8" max="8" width="14.4399995803833" hidden="0" customWidth="1"/>
    <x:col min="9" max="9" width="14.4399995803833" hidden="0" customWidth="1"/>
    <x:col min="10" max="10" width="54.439998626708984" hidden="0" customWidth="1"/>
    <x:col min="11" max="11" width="18.889999389648438" hidden="0" customWidth="1"/>
  </x:cols>
  <x:sheetData>
    <x:row r="2" ht="30" customHeight="1">
      <x:c r="B2" s="1" t="str">
        <x:v>Complete CN/VN group schedules: HLS estimates</x:v>
      </x:c>
    </x:row>
    <x:row r="4" ht="40" customHeight="1">
      <x:c r="B4" s="103" t="str">
        <x:v>Workload</x:v>
      </x:c>
      <x:c r="C4" s="103" t="str">
        <x:v>Point</x:v>
      </x:c>
      <x:c r="D4" s="103" t="str">
        <x:v>Role</x:v>
      </x:c>
      <x:c r="E4" s="103" t="str">
        <x:v>Loop</x:v>
      </x:c>
      <x:c r="F4" s="103" t="str">
        <x:v>Achieved II</x:v>
      </x:c>
      <x:c r="G4" s="103" t="str">
        <x:v>Trip count</x:v>
      </x:c>
      <x:c r="H4" s="103" t="str">
        <x:v>Latency (cycles)</x:v>
      </x:c>
      <x:c r="I4" s="103" t="str">
        <x:v>Depth (cycles)</x:v>
      </x:c>
      <x:c r="J4" s="103" t="str">
        <x:v>Report SHA-256</x:v>
      </x:c>
      <x:c r="K4" s="103" t="str">
        <x:v>Scope</x:v>
      </x:c>
    </x:row>
    <x:row r="5" ht="26" customHeight="1">
      <x:c r="B5" s="109" t="str">
        <x:v>BB72</x:v>
      </x:c>
      <x:c r="C5" s="42" t="str">
        <x:v>C1V2</x:v>
      </x:c>
      <x:c r="D5" s="109" t="str">
        <x:v>CNU</x:v>
      </x:c>
      <x:c r="E5" s="109" t="str">
        <x:v>CNU_ROW_GROUPS</x:v>
      </x:c>
      <x:c r="F5" s="42" t="n">
        <x:v>1</x:v>
      </x:c>
      <x:c r="G5" s="42" t="n">
        <x:v>252</x:v>
      </x:c>
      <x:c r="H5" s="42" t="n">
        <x:v>255</x:v>
      </x:c>
      <x:c r="I5" s="42" t="n">
        <x:v>5</x:v>
      </x:c>
      <x:c r="J5" s="109" t="str">
        <x:v>35ef8f56bd31860105ae09602fe9d505a55dfa0cd0415874f028373784d5c5c7</x:v>
      </x:c>
      <x:c r="K5" s="109" t="str">
        <x:v>HLS estimate only</x:v>
      </x:c>
    </x:row>
    <x:row r="6" ht="26" customHeight="1">
      <x:c r="B6" s="110" t="str">
        <x:v>BB72</x:v>
      </x:c>
      <x:c r="C6" s="111" t="str">
        <x:v>C1V2</x:v>
      </x:c>
      <x:c r="D6" s="110" t="str">
        <x:v>VNU</x:v>
      </x:c>
      <x:c r="E6" s="110" t="str">
        <x:v>VNU_GROUPS</x:v>
      </x:c>
      <x:c r="F6" s="111" t="n">
        <x:v>1</x:v>
      </x:c>
      <x:c r="G6" s="111" t="n">
        <x:v>1120</x:v>
      </x:c>
      <x:c r="H6" s="111" t="n">
        <x:v>1125</x:v>
      </x:c>
      <x:c r="I6" s="111" t="n">
        <x:v>7</x:v>
      </x:c>
      <x:c r="J6" s="110" t="str">
        <x:v>ba6c91b09bcb44ad390e79a201c7faae0c2bf4868677f4fab8133a8bd4d92aff</x:v>
      </x:c>
      <x:c r="K6" s="110" t="str">
        <x:v>HLS estimate only</x:v>
      </x:c>
    </x:row>
    <x:row r="7" ht="26" customHeight="1">
      <x:c r="B7" s="109" t="str">
        <x:v>BB72</x:v>
      </x:c>
      <x:c r="C7" s="42" t="str">
        <x:v>C1V4</x:v>
      </x:c>
      <x:c r="D7" s="109" t="str">
        <x:v>CNU</x:v>
      </x:c>
      <x:c r="E7" s="109" t="str">
        <x:v>CNU_ROW_GROUPS</x:v>
      </x:c>
      <x:c r="F7" s="42" t="n">
        <x:v>1</x:v>
      </x:c>
      <x:c r="G7" s="42" t="n">
        <x:v>252</x:v>
      </x:c>
      <x:c r="H7" s="42" t="n">
        <x:v>255</x:v>
      </x:c>
      <x:c r="I7" s="42" t="n">
        <x:v>5</x:v>
      </x:c>
      <x:c r="J7" s="109" t="str">
        <x:v>35ef8f56bd31860105ae09602fe9d505a55dfa0cd0415874f028373784d5c5c7</x:v>
      </x:c>
      <x:c r="K7" s="109" t="str">
        <x:v>HLS estimate only</x:v>
      </x:c>
    </x:row>
    <x:row r="8" ht="26" customHeight="1">
      <x:c r="B8" s="110" t="str">
        <x:v>BB72</x:v>
      </x:c>
      <x:c r="C8" s="111" t="str">
        <x:v>C1V4</x:v>
      </x:c>
      <x:c r="D8" s="110" t="str">
        <x:v>VNU</x:v>
      </x:c>
      <x:c r="E8" s="110" t="str">
        <x:v>VNU_GROUPS</x:v>
      </x:c>
      <x:c r="F8" s="111" t="n">
        <x:v>1</x:v>
      </x:c>
      <x:c r="G8" s="111" t="n">
        <x:v>560</x:v>
      </x:c>
      <x:c r="H8" s="111" t="n">
        <x:v>565</x:v>
      </x:c>
      <x:c r="I8" s="111" t="n">
        <x:v>7</x:v>
      </x:c>
      <x:c r="J8" s="110" t="str">
        <x:v>fc0b09d16c96d0f21dcb6c46e1f42dcd0046ce1e5a926d6a92d6417abbd9facf</x:v>
      </x:c>
      <x:c r="K8" s="110" t="str">
        <x:v>HLS estimate only</x:v>
      </x:c>
    </x:row>
    <x:row r="9" ht="26" customHeight="1">
      <x:c r="B9" s="109" t="str">
        <x:v>BB72</x:v>
      </x:c>
      <x:c r="C9" s="42" t="str">
        <x:v>C1V8</x:v>
      </x:c>
      <x:c r="D9" s="109" t="str">
        <x:v>CNU</x:v>
      </x:c>
      <x:c r="E9" s="109" t="str">
        <x:v>CNU_ROW_GROUPS</x:v>
      </x:c>
      <x:c r="F9" s="42" t="n">
        <x:v>1</x:v>
      </x:c>
      <x:c r="G9" s="42" t="n">
        <x:v>252</x:v>
      </x:c>
      <x:c r="H9" s="42" t="n">
        <x:v>255</x:v>
      </x:c>
      <x:c r="I9" s="42" t="n">
        <x:v>5</x:v>
      </x:c>
      <x:c r="J9" s="109" t="str">
        <x:v>35ef8f56bd31860105ae09602fe9d505a55dfa0cd0415874f028373784d5c5c7</x:v>
      </x:c>
      <x:c r="K9" s="109" t="str">
        <x:v>HLS estimate only</x:v>
      </x:c>
    </x:row>
    <x:row r="10" ht="26" customHeight="1">
      <x:c r="B10" s="110" t="str">
        <x:v>BB72</x:v>
      </x:c>
      <x:c r="C10" s="111" t="str">
        <x:v>C1V8</x:v>
      </x:c>
      <x:c r="D10" s="110" t="str">
        <x:v>VNU</x:v>
      </x:c>
      <x:c r="E10" s="110" t="str">
        <x:v>VNU_GROUPS</x:v>
      </x:c>
      <x:c r="F10" s="111" t="n">
        <x:v>1</x:v>
      </x:c>
      <x:c r="G10" s="111" t="n">
        <x:v>280</x:v>
      </x:c>
      <x:c r="H10" s="111" t="n">
        <x:v>285</x:v>
      </x:c>
      <x:c r="I10" s="111" t="n">
        <x:v>7</x:v>
      </x:c>
      <x:c r="J10" s="110" t="str">
        <x:v>f49969d294d72673fe147fdc047b06694ffec723270c7885d2a125130b96d286</x:v>
      </x:c>
      <x:c r="K10" s="110" t="str">
        <x:v>HLS estimate only</x:v>
      </x:c>
    </x:row>
    <x:row r="11" ht="26" customHeight="1">
      <x:c r="B11" s="109" t="str">
        <x:v>BB72</x:v>
      </x:c>
      <x:c r="C11" s="42" t="str">
        <x:v>C2V2</x:v>
      </x:c>
      <x:c r="D11" s="109" t="str">
        <x:v>CNU</x:v>
      </x:c>
      <x:c r="E11" s="109" t="str">
        <x:v>CNU_ROW_GROUPS</x:v>
      </x:c>
      <x:c r="F11" s="42" t="n">
        <x:v>1</x:v>
      </x:c>
      <x:c r="G11" s="42" t="n">
        <x:v>126</x:v>
      </x:c>
      <x:c r="H11" s="42" t="n">
        <x:v>129</x:v>
      </x:c>
      <x:c r="I11" s="42" t="n">
        <x:v>5</x:v>
      </x:c>
      <x:c r="J11" s="109" t="str">
        <x:v>7f317219074c1ea2972936750118b4e4f250fa0678e440d6b13f3d9b79dc7752</x:v>
      </x:c>
      <x:c r="K11" s="109" t="str">
        <x:v>HLS estimate only</x:v>
      </x:c>
    </x:row>
    <x:row r="12" ht="26" customHeight="1">
      <x:c r="B12" s="110" t="str">
        <x:v>BB72</x:v>
      </x:c>
      <x:c r="C12" s="111" t="str">
        <x:v>C2V2</x:v>
      </x:c>
      <x:c r="D12" s="110" t="str">
        <x:v>VNU</x:v>
      </x:c>
      <x:c r="E12" s="110" t="str">
        <x:v>VNU_GROUPS</x:v>
      </x:c>
      <x:c r="F12" s="111" t="n">
        <x:v>1</x:v>
      </x:c>
      <x:c r="G12" s="111" t="n">
        <x:v>1120</x:v>
      </x:c>
      <x:c r="H12" s="111" t="n">
        <x:v>1125</x:v>
      </x:c>
      <x:c r="I12" s="111" t="n">
        <x:v>7</x:v>
      </x:c>
      <x:c r="J12" s="110" t="str">
        <x:v>ba6c91b09bcb44ad390e79a201c7faae0c2bf4868677f4fab8133a8bd4d92aff</x:v>
      </x:c>
      <x:c r="K12" s="110" t="str">
        <x:v>HLS estimate only</x:v>
      </x:c>
    </x:row>
    <x:row r="13" ht="26" customHeight="1">
      <x:c r="B13" s="109" t="str">
        <x:v>BB72</x:v>
      </x:c>
      <x:c r="C13" s="42" t="str">
        <x:v>C2V4</x:v>
      </x:c>
      <x:c r="D13" s="109" t="str">
        <x:v>CNU</x:v>
      </x:c>
      <x:c r="E13" s="109" t="str">
        <x:v>CNU_ROW_GROUPS</x:v>
      </x:c>
      <x:c r="F13" s="42" t="n">
        <x:v>1</x:v>
      </x:c>
      <x:c r="G13" s="42" t="n">
        <x:v>126</x:v>
      </x:c>
      <x:c r="H13" s="42" t="n">
        <x:v>129</x:v>
      </x:c>
      <x:c r="I13" s="42" t="n">
        <x:v>5</x:v>
      </x:c>
      <x:c r="J13" s="109" t="str">
        <x:v>2177ca424950ccea4231d02636db2f26db2ecfd2d9ac232932255ec08bbb0220</x:v>
      </x:c>
      <x:c r="K13" s="109" t="str">
        <x:v>HLS estimate only</x:v>
      </x:c>
    </x:row>
    <x:row r="14" ht="26" customHeight="1">
      <x:c r="B14" s="110" t="str">
        <x:v>BB72</x:v>
      </x:c>
      <x:c r="C14" s="111" t="str">
        <x:v>C2V4</x:v>
      </x:c>
      <x:c r="D14" s="110" t="str">
        <x:v>VNU</x:v>
      </x:c>
      <x:c r="E14" s="110" t="str">
        <x:v>VNU_GROUPS</x:v>
      </x:c>
      <x:c r="F14" s="111" t="n">
        <x:v>1</x:v>
      </x:c>
      <x:c r="G14" s="111" t="n">
        <x:v>560</x:v>
      </x:c>
      <x:c r="H14" s="111" t="n">
        <x:v>565</x:v>
      </x:c>
      <x:c r="I14" s="111" t="n">
        <x:v>7</x:v>
      </x:c>
      <x:c r="J14" s="110" t="str">
        <x:v>014f9a3a0b45bf2ea69c54876f75362f6f1a5689dbd91cfa1147ffb1359afd92</x:v>
      </x:c>
      <x:c r="K14" s="110" t="str">
        <x:v>HLS estimate only</x:v>
      </x:c>
    </x:row>
    <x:row r="15" ht="26" customHeight="1">
      <x:c r="B15" s="26" t="str">
        <x:v>BB72</x:v>
      </x:c>
      <x:c r="C15" s="26" t="str">
        <x:v>C2V8</x:v>
      </x:c>
      <x:c r="D15" s="26" t="str">
        <x:v>CNU</x:v>
      </x:c>
      <x:c r="E15" s="26" t="str">
        <x:v>CNU_ROW_GROUPS</x:v>
      </x:c>
      <x:c r="F15" s="112" t="n">
        <x:v>1</x:v>
      </x:c>
      <x:c r="G15" s="112" t="n">
        <x:v>126</x:v>
      </x:c>
      <x:c r="H15" s="112" t="n">
        <x:v>129</x:v>
      </x:c>
      <x:c r="I15" s="112" t="n">
        <x:v>5</x:v>
      </x:c>
      <x:c r="J15" s="26" t="str">
        <x:v>5378a8f8fbb00e40e6a0c8fc3c795dc2ee68e66471a558d51f08d16aa74c44dc</x:v>
      </x:c>
      <x:c r="K15" s="26" t="str">
        <x:v>HLS estimate only</x:v>
      </x:c>
    </x:row>
    <x:row r="16" ht="26" customHeight="1">
      <x:c r="B16" s="26" t="str">
        <x:v>BB72</x:v>
      </x:c>
      <x:c r="C16" s="26" t="str">
        <x:v>C2V8</x:v>
      </x:c>
      <x:c r="D16" s="26" t="str">
        <x:v>VNU</x:v>
      </x:c>
      <x:c r="E16" s="26" t="str">
        <x:v>VNU_GROUPS</x:v>
      </x:c>
      <x:c r="F16" s="112" t="n">
        <x:v>1</x:v>
      </x:c>
      <x:c r="G16" s="112" t="n">
        <x:v>280</x:v>
      </x:c>
      <x:c r="H16" s="112" t="n">
        <x:v>285</x:v>
      </x:c>
      <x:c r="I16" s="112" t="n">
        <x:v>7</x:v>
      </x:c>
      <x:c r="J16" s="26" t="str">
        <x:v>6bc9d016d288d6d530075116697af68591fe0091581a833ec08f8449e480049e</x:v>
      </x:c>
      <x:c r="K16" s="26" t="str">
        <x:v>HLS estimate only</x:v>
      </x:c>
    </x:row>
    <x:row r="17" ht="26" customHeight="1">
      <x:c r="B17" s="26" t="str">
        <x:v>BB72</x:v>
      </x:c>
      <x:c r="C17" s="26" t="str">
        <x:v>C4V2</x:v>
      </x:c>
      <x:c r="D17" s="26" t="str">
        <x:v>CNU</x:v>
      </x:c>
      <x:c r="E17" s="26" t="str">
        <x:v>CNU_ROW_GROUPS</x:v>
      </x:c>
      <x:c r="F17" s="112" t="n">
        <x:v>1</x:v>
      </x:c>
      <x:c r="G17" s="112" t="n">
        <x:v>63</x:v>
      </x:c>
      <x:c r="H17" s="112" t="n">
        <x:v>66</x:v>
      </x:c>
      <x:c r="I17" s="112" t="n">
        <x:v>5</x:v>
      </x:c>
      <x:c r="J17" s="26" t="str">
        <x:v>632ebe2c743d62008a081bd5c2cfacbc315672e5f1910393db697ab58a495965</x:v>
      </x:c>
      <x:c r="K17" s="26" t="str">
        <x:v>HLS estimate only</x:v>
      </x:c>
    </x:row>
    <x:row r="18" ht="26" customHeight="1">
      <x:c r="B18" s="26" t="str">
        <x:v>BB72</x:v>
      </x:c>
      <x:c r="C18" s="26" t="str">
        <x:v>C4V2</x:v>
      </x:c>
      <x:c r="D18" s="26" t="str">
        <x:v>VNU</x:v>
      </x:c>
      <x:c r="E18" s="26" t="str">
        <x:v>VNU_GROUPS</x:v>
      </x:c>
      <x:c r="F18" s="112" t="n">
        <x:v>1</x:v>
      </x:c>
      <x:c r="G18" s="112" t="n">
        <x:v>1120</x:v>
      </x:c>
      <x:c r="H18" s="112" t="n">
        <x:v>1125</x:v>
      </x:c>
      <x:c r="I18" s="112" t="n">
        <x:v>7</x:v>
      </x:c>
      <x:c r="J18" s="26" t="str">
        <x:v>6ee4516bed09ef576889184988d4d0b06832f3a81fac47870ae325effc768bdb</x:v>
      </x:c>
      <x:c r="K18" s="26" t="str">
        <x:v>HLS estimate only</x:v>
      </x:c>
    </x:row>
    <x:row r="19" ht="26" customHeight="1">
      <x:c r="B19" s="26" t="str">
        <x:v>BB72</x:v>
      </x:c>
      <x:c r="C19" s="26" t="str">
        <x:v>C4V4</x:v>
      </x:c>
      <x:c r="D19" s="26" t="str">
        <x:v>CNU</x:v>
      </x:c>
      <x:c r="E19" s="26" t="str">
        <x:v>CNU_ROW_GROUPS</x:v>
      </x:c>
      <x:c r="F19" s="112" t="n">
        <x:v>1</x:v>
      </x:c>
      <x:c r="G19" s="112" t="n">
        <x:v>63</x:v>
      </x:c>
      <x:c r="H19" s="112" t="n">
        <x:v>66</x:v>
      </x:c>
      <x:c r="I19" s="112" t="n">
        <x:v>5</x:v>
      </x:c>
      <x:c r="J19" s="26" t="str">
        <x:v>632ebe2c743d62008a081bd5c2cfacbc315672e5f1910393db697ab58a495965</x:v>
      </x:c>
      <x:c r="K19" s="26" t="str">
        <x:v>HLS estimate only</x:v>
      </x:c>
    </x:row>
    <x:row r="20" ht="26" customHeight="1">
      <x:c r="B20" s="26" t="str">
        <x:v>BB72</x:v>
      </x:c>
      <x:c r="C20" s="26" t="str">
        <x:v>C4V4</x:v>
      </x:c>
      <x:c r="D20" s="26" t="str">
        <x:v>VNU</x:v>
      </x:c>
      <x:c r="E20" s="26" t="str">
        <x:v>VNU_GROUPS</x:v>
      </x:c>
      <x:c r="F20" s="112" t="n">
        <x:v>1</x:v>
      </x:c>
      <x:c r="G20" s="112" t="n">
        <x:v>560</x:v>
      </x:c>
      <x:c r="H20" s="112" t="n">
        <x:v>565</x:v>
      </x:c>
      <x:c r="I20" s="112" t="n">
        <x:v>7</x:v>
      </x:c>
      <x:c r="J20" s="26" t="str">
        <x:v>5e87a1c65a2053dc3509117968bbe356061306cdcdb0075a10f8627c5260d1e3</x:v>
      </x:c>
      <x:c r="K20" s="26" t="str">
        <x:v>HLS estimate only</x:v>
      </x:c>
    </x:row>
    <x:row r="21" ht="26" customHeight="1">
      <x:c r="B21" s="26" t="str">
        <x:v>BB72</x:v>
      </x:c>
      <x:c r="C21" s="26" t="str">
        <x:v>C4V8</x:v>
      </x:c>
      <x:c r="D21" s="26" t="str">
        <x:v>CNU</x:v>
      </x:c>
      <x:c r="E21" s="26" t="str">
        <x:v>CNU_ROW_GROUPS</x:v>
      </x:c>
      <x:c r="F21" s="112" t="n">
        <x:v>1</x:v>
      </x:c>
      <x:c r="G21" s="112" t="n">
        <x:v>63</x:v>
      </x:c>
      <x:c r="H21" s="112" t="n">
        <x:v>66</x:v>
      </x:c>
      <x:c r="I21" s="112" t="n">
        <x:v>5</x:v>
      </x:c>
      <x:c r="J21" s="26" t="str">
        <x:v>5a57cc24e3d5765a16cd6214526c752f9cd754f130cfcb460244f797b58675db</x:v>
      </x:c>
      <x:c r="K21" s="26" t="str">
        <x:v>HLS estimate only</x:v>
      </x:c>
    </x:row>
    <x:row r="22" ht="26" customHeight="1">
      <x:c r="B22" s="26" t="str">
        <x:v>BB72</x:v>
      </x:c>
      <x:c r="C22" s="26" t="str">
        <x:v>C4V8</x:v>
      </x:c>
      <x:c r="D22" s="26" t="str">
        <x:v>VNU</x:v>
      </x:c>
      <x:c r="E22" s="26" t="str">
        <x:v>VNU_GROUPS</x:v>
      </x:c>
      <x:c r="F22" s="112" t="n">
        <x:v>1</x:v>
      </x:c>
      <x:c r="G22" s="112" t="n">
        <x:v>280</x:v>
      </x:c>
      <x:c r="H22" s="112" t="n">
        <x:v>285</x:v>
      </x:c>
      <x:c r="I22" s="112" t="n">
        <x:v>7</x:v>
      </x:c>
      <x:c r="J22" s="26" t="str">
        <x:v>9fee78d12f04ae6122e9b255934d56b72dfed1ea2e382735d05574c54aa437ab</x:v>
      </x:c>
      <x:c r="K22" s="26" t="str">
        <x:v>HLS estimate only</x:v>
      </x:c>
    </x:row>
    <x:row r="23" ht="26" customHeight="1">
      <x:c r="B23" s="26" t="str">
        <x:v>BB144</x:v>
      </x:c>
      <x:c r="C23" s="26" t="str">
        <x:v>C4V8</x:v>
      </x:c>
      <x:c r="D23" s="26" t="str">
        <x:v>CNU</x:v>
      </x:c>
      <x:c r="E23" s="26" t="str">
        <x:v>CNU_ROW_GROUPS</x:v>
      </x:c>
      <x:c r="F23" s="112" t="n">
        <x:v>1</x:v>
      </x:c>
      <x:c r="G23" s="112" t="n">
        <x:v>234</x:v>
      </x:c>
      <x:c r="H23" s="112" t="n">
        <x:v>237</x:v>
      </x:c>
      <x:c r="I23" s="112" t="n">
        <x:v>5</x:v>
      </x:c>
      <x:c r="J23" s="26" t="str">
        <x:v>df4a82c2f59766e84f5696e10e0ac9e0f4ed035326a03215a9348438f2a528c1</x:v>
      </x:c>
      <x:c r="K23" s="26" t="str">
        <x:v>HLS estimate only</x:v>
      </x:c>
    </x:row>
    <x:row r="24" ht="26" customHeight="1">
      <x:c r="B24" s="26" t="str">
        <x:v>BB144</x:v>
      </x:c>
      <x:c r="C24" s="26" t="str">
        <x:v>C4V8</x:v>
      </x:c>
      <x:c r="D24" s="26" t="str">
        <x:v>VNU</x:v>
      </x:c>
      <x:c r="E24" s="26" t="str">
        <x:v>VNU_GROUPS</x:v>
      </x:c>
      <x:c r="F24" s="112" t="n">
        <x:v>1</x:v>
      </x:c>
      <x:c r="G24" s="112" t="n">
        <x:v>1104</x:v>
      </x:c>
      <x:c r="H24" s="112" t="n">
        <x:v>1109</x:v>
      </x:c>
      <x:c r="I24" s="112" t="n">
        <x:v>7</x:v>
      </x:c>
      <x:c r="J24" s="26" t="str">
        <x:v>2acf6a2e09b6e1b95e2aa595a2d46e3f759185f2b6f81a56cdc71a3241551301</x:v>
      </x:c>
      <x:c r="K24" s="26" t="str">
        <x:v>HLS estimate only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.6700000762939453" hidden="0" customWidth="1"/>
    <x:col min="2" max="2" width="23.329999923706055" hidden="0" customWidth="1"/>
    <x:col min="3" max="3" width="14.4399995803833" hidden="0" customWidth="1"/>
    <x:col min="4" max="4" width="14.4399995803833" hidden="0" customWidth="1"/>
  </x:cols>
  <x:sheetData>
    <x:row r="2" ht="30" customHeight="1">
      <x:c r="B2" s="1" t="str">
        <x:v>Mean per-input latency across five trials</x:v>
      </x:c>
    </x:row>
    <x:row r="4" ht="48" customHeight="1">
      <x:c r="B4" s="7" t="str">
        <x:v>implementation</x:v>
      </x:c>
      <x:c r="C4" s="7" t="str">
        <x:v>input index</x:v>
      </x:c>
      <x:c r="D4" s="7" t="str">
        <x:v>mean us over 5 trials</x:v>
      </x:c>
    </x:row>
    <x:row r="5" ht="30" customHeight="1">
      <x:c r="B5" s="9" t="str">
        <x:v>CPU hls-c-1</x:v>
      </x:c>
      <x:c r="C5" s="15" t="n">
        <x:v>0</x:v>
      </x:c>
      <x:c r="D5" s="11" t="n">
        <x:v>4477.3416</x:v>
      </x:c>
    </x:row>
    <x:row r="6" ht="30" customHeight="1">
      <x:c r="B6" s="12" t="str">
        <x:v>CPU hls-c-1</x:v>
      </x:c>
      <x:c r="C6" s="18" t="n">
        <x:v>1</x:v>
      </x:c>
      <x:c r="D6" s="13" t="n">
        <x:v>17051.443199999998</x:v>
      </x:c>
    </x:row>
    <x:row r="7" ht="30" customHeight="1">
      <x:c r="B7" s="9" t="str">
        <x:v>CPU hls-c-1</x:v>
      </x:c>
      <x:c r="C7" s="15" t="n">
        <x:v>2</x:v>
      </x:c>
      <x:c r="D7" s="11" t="n">
        <x:v>13868.1584</x:v>
      </x:c>
    </x:row>
    <x:row r="8" ht="30" customHeight="1">
      <x:c r="B8" s="12" t="str">
        <x:v>CPU hls-c-1</x:v>
      </x:c>
      <x:c r="C8" s="18" t="n">
        <x:v>3</x:v>
      </x:c>
      <x:c r="D8" s="13" t="n">
        <x:v>18097.5852</x:v>
      </x:c>
    </x:row>
    <x:row r="9" ht="30" customHeight="1">
      <x:c r="B9" s="9" t="str">
        <x:v>CPU hls-c-1</x:v>
      </x:c>
      <x:c r="C9" s="15" t="n">
        <x:v>4</x:v>
      </x:c>
      <x:c r="D9" s="11" t="n">
        <x:v>14920.5476</x:v>
      </x:c>
    </x:row>
    <x:row r="10" ht="30" customHeight="1">
      <x:c r="B10" s="12" t="str">
        <x:v>CPU hls-c-1</x:v>
      </x:c>
      <x:c r="C10" s="18" t="n">
        <x:v>5</x:v>
      </x:c>
      <x:c r="D10" s="13" t="n">
        <x:v>17144.6336</x:v>
      </x:c>
    </x:row>
    <x:row r="11" ht="30" customHeight="1">
      <x:c r="B11" s="9" t="str">
        <x:v>CPU hls-c-1</x:v>
      </x:c>
      <x:c r="C11" s="15" t="n">
        <x:v>6</x:v>
      </x:c>
      <x:c r="D11" s="11" t="n">
        <x:v>8655.4074</x:v>
      </x:c>
    </x:row>
    <x:row r="12" ht="30" customHeight="1">
      <x:c r="B12" s="12" t="str">
        <x:v>CPU hls-c-1</x:v>
      </x:c>
      <x:c r="C12" s="18" t="n">
        <x:v>7</x:v>
      </x:c>
      <x:c r="D12" s="13" t="n">
        <x:v>7672.5624</x:v>
      </x:c>
    </x:row>
    <x:row r="13" ht="30" customHeight="1">
      <x:c r="B13" s="9" t="str">
        <x:v>CPU hls-c-1</x:v>
      </x:c>
      <x:c r="C13" s="15" t="n">
        <x:v>8</x:v>
      </x:c>
      <x:c r="D13" s="11" t="n">
        <x:v>7596.869</x:v>
      </x:c>
    </x:row>
    <x:row r="14" ht="30" customHeight="1">
      <x:c r="B14" s="12" t="str">
        <x:v>CPU hls-c-1</x:v>
      </x:c>
      <x:c r="C14" s="18" t="n">
        <x:v>9</x:v>
      </x:c>
      <x:c r="D14" s="13" t="n">
        <x:v>19304.5248</x:v>
      </x:c>
    </x:row>
    <x:row r="15" ht="30" customHeight="1">
      <x:c r="B15" s="9" t="str">
        <x:v>CPU hls-c-1</x:v>
      </x:c>
      <x:c r="C15" s="15" t="n">
        <x:v>10</x:v>
      </x:c>
      <x:c r="D15" s="11" t="n">
        <x:v>11913.356800000001</x:v>
      </x:c>
    </x:row>
    <x:row r="16" ht="30" customHeight="1">
      <x:c r="B16" s="12" t="str">
        <x:v>CPU hls-c-1</x:v>
      </x:c>
      <x:c r="C16" s="18" t="n">
        <x:v>11</x:v>
      </x:c>
      <x:c r="D16" s="13" t="n">
        <x:v>17817.162</x:v>
      </x:c>
    </x:row>
    <x:row r="17" ht="30" customHeight="1">
      <x:c r="B17" s="9" t="str">
        <x:v>CPU hls-c-1</x:v>
      </x:c>
      <x:c r="C17" s="15" t="n">
        <x:v>12</x:v>
      </x:c>
      <x:c r="D17" s="11" t="n">
        <x:v>20003.0886</x:v>
      </x:c>
    </x:row>
    <x:row r="18" ht="30" customHeight="1">
      <x:c r="B18" s="12" t="str">
        <x:v>CPU hls-c-1</x:v>
      </x:c>
      <x:c r="C18" s="18" t="n">
        <x:v>13</x:v>
      </x:c>
      <x:c r="D18" s="13" t="n">
        <x:v>11933.395</x:v>
      </x:c>
    </x:row>
    <x:row r="19" ht="30" customHeight="1">
      <x:c r="B19" s="9" t="str">
        <x:v>CPU hls-c-1</x:v>
      </x:c>
      <x:c r="C19" s="15" t="n">
        <x:v>14</x:v>
      </x:c>
      <x:c r="D19" s="11" t="n">
        <x:v>19152.8628</x:v>
      </x:c>
    </x:row>
    <x:row r="20" ht="30" customHeight="1">
      <x:c r="B20" s="12" t="str">
        <x:v>CPU hls-c-1</x:v>
      </x:c>
      <x:c r="C20" s="18" t="n">
        <x:v>15</x:v>
      </x:c>
      <x:c r="D20" s="13" t="n">
        <x:v>21310.7814</x:v>
      </x:c>
    </x:row>
    <x:row r="21" ht="30" customHeight="1">
      <x:c r="B21" s="9" t="str">
        <x:v>CPU hls-c-1</x:v>
      </x:c>
      <x:c r="C21" s="15" t="n">
        <x:v>16</x:v>
      </x:c>
      <x:c r="D21" s="11" t="n">
        <x:v>15930.1644</x:v>
      </x:c>
    </x:row>
    <x:row r="22" ht="30" customHeight="1">
      <x:c r="B22" s="12" t="str">
        <x:v>CPU hls-c-1</x:v>
      </x:c>
      <x:c r="C22" s="18" t="n">
        <x:v>17</x:v>
      </x:c>
      <x:c r="D22" s="13" t="n">
        <x:v>16030.5434</x:v>
      </x:c>
    </x:row>
    <x:row r="23" ht="30" customHeight="1">
      <x:c r="B23" s="9" t="str">
        <x:v>CPU hls-c-1</x:v>
      </x:c>
      <x:c r="C23" s="15" t="n">
        <x:v>18</x:v>
      </x:c>
      <x:c r="D23" s="11" t="n">
        <x:v>18062.2966</x:v>
      </x:c>
    </x:row>
    <x:row r="24" ht="30" customHeight="1">
      <x:c r="B24" s="12" t="str">
        <x:v>CPU hls-c-1</x:v>
      </x:c>
      <x:c r="C24" s="18" t="n">
        <x:v>19</x:v>
      </x:c>
      <x:c r="D24" s="13" t="n">
        <x:v>7581.5078</x:v>
      </x:c>
    </x:row>
    <x:row r="25" ht="30" customHeight="1">
      <x:c r="B25" s="9" t="str">
        <x:v>CPU hls-c-1</x:v>
      </x:c>
      <x:c r="C25" s="15" t="n">
        <x:v>20</x:v>
      </x:c>
      <x:c r="D25" s="11" t="n">
        <x:v>6604.1394</x:v>
      </x:c>
    </x:row>
    <x:row r="26" ht="30" customHeight="1">
      <x:c r="B26" s="12" t="str">
        <x:v>CPU hls-c-1</x:v>
      </x:c>
      <x:c r="C26" s="18" t="n">
        <x:v>21</x:v>
      </x:c>
      <x:c r="D26" s="13" t="n">
        <x:v>4447.152</x:v>
      </x:c>
    </x:row>
    <x:row r="27" ht="30" customHeight="1">
      <x:c r="B27" s="9" t="str">
        <x:v>CPU hls-c-1</x:v>
      </x:c>
      <x:c r="C27" s="15" t="n">
        <x:v>22</x:v>
      </x:c>
      <x:c r="D27" s="11" t="n">
        <x:v>12832.361799999999</x:v>
      </x:c>
    </x:row>
    <x:row r="28" ht="30" customHeight="1">
      <x:c r="B28" s="12" t="str">
        <x:v>CPU hls-c-1</x:v>
      </x:c>
      <x:c r="C28" s="18" t="n">
        <x:v>23</x:v>
      </x:c>
      <x:c r="D28" s="13" t="n">
        <x:v>12642.3226</x:v>
      </x:c>
    </x:row>
    <x:row r="29" ht="30" customHeight="1">
      <x:c r="B29" s="9" t="str">
        <x:v>CPU hls-c-1</x:v>
      </x:c>
      <x:c r="C29" s="15" t="n">
        <x:v>24</x:v>
      </x:c>
      <x:c r="D29" s="11" t="n">
        <x:v>21244.8142</x:v>
      </x:c>
    </x:row>
    <x:row r="30" ht="30" customHeight="1">
      <x:c r="B30" s="12" t="str">
        <x:v>CPU hls-c-1</x:v>
      </x:c>
      <x:c r="C30" s="18" t="n">
        <x:v>25</x:v>
      </x:c>
      <x:c r="D30" s="13" t="n">
        <x:v>13955.1028</x:v>
      </x:c>
    </x:row>
    <x:row r="31" ht="30" customHeight="1">
      <x:c r="B31" s="9" t="str">
        <x:v>CPU hls-c-1</x:v>
      </x:c>
      <x:c r="C31" s="15" t="n">
        <x:v>26</x:v>
      </x:c>
      <x:c r="D31" s="11" t="n">
        <x:v>11796.6718</x:v>
      </x:c>
    </x:row>
    <x:row r="32" ht="30" customHeight="1">
      <x:c r="B32" s="12" t="str">
        <x:v>CPU hls-c-1</x:v>
      </x:c>
      <x:c r="C32" s="18" t="n">
        <x:v>27</x:v>
      </x:c>
      <x:c r="D32" s="13" t="n">
        <x:v>10896.3788</x:v>
      </x:c>
    </x:row>
    <x:row r="33" ht="30" customHeight="1">
      <x:c r="B33" s="9" t="str">
        <x:v>CPU hls-c-1</x:v>
      </x:c>
      <x:c r="C33" s="15" t="n">
        <x:v>28</x:v>
      </x:c>
      <x:c r="D33" s="11" t="n">
        <x:v>17241.5226</x:v>
      </x:c>
    </x:row>
    <x:row r="34" ht="30" customHeight="1">
      <x:c r="B34" s="12" t="str">
        <x:v>CPU hls-c-1</x:v>
      </x:c>
      <x:c r="C34" s="18" t="n">
        <x:v>29</x:v>
      </x:c>
      <x:c r="D34" s="13" t="n">
        <x:v>21308.7686</x:v>
      </x:c>
    </x:row>
    <x:row r="35" ht="30" customHeight="1">
      <x:c r="B35" s="9" t="str">
        <x:v>CPU hls-c-1</x:v>
      </x:c>
      <x:c r="C35" s="15" t="n">
        <x:v>30</x:v>
      </x:c>
      <x:c r="D35" s="11" t="n">
        <x:v>12891.666799999999</x:v>
      </x:c>
    </x:row>
    <x:row r="36" ht="30" customHeight="1">
      <x:c r="B36" s="12" t="str">
        <x:v>CPU hls-c-1</x:v>
      </x:c>
      <x:c r="C36" s="18" t="n">
        <x:v>31</x:v>
      </x:c>
      <x:c r="D36" s="13" t="n">
        <x:v>11783.7282</x:v>
      </x:c>
    </x:row>
    <x:row r="37" ht="30" customHeight="1">
      <x:c r="B37" s="9" t="str">
        <x:v>CPU scalar-1</x:v>
      </x:c>
      <x:c r="C37" s="15" t="n">
        <x:v>0</x:v>
      </x:c>
      <x:c r="D37" s="11" t="n">
        <x:v>337.1386</x:v>
      </x:c>
    </x:row>
    <x:row r="38" ht="30" customHeight="1">
      <x:c r="B38" s="12" t="str">
        <x:v>CPU scalar-1</x:v>
      </x:c>
      <x:c r="C38" s="18" t="n">
        <x:v>1</x:v>
      </x:c>
      <x:c r="D38" s="13" t="n">
        <x:v>1287.4302</x:v>
      </x:c>
    </x:row>
    <x:row r="39" ht="30" customHeight="1">
      <x:c r="B39" s="9" t="str">
        <x:v>CPU scalar-1</x:v>
      </x:c>
      <x:c r="C39" s="15" t="n">
        <x:v>2</x:v>
      </x:c>
      <x:c r="D39" s="11" t="n">
        <x:v>1056.67</x:v>
      </x:c>
    </x:row>
    <x:row r="40" ht="30" customHeight="1">
      <x:c r="B40" s="12" t="str">
        <x:v>CPU scalar-1</x:v>
      </x:c>
      <x:c r="C40" s="18" t="n">
        <x:v>3</x:v>
      </x:c>
      <x:c r="D40" s="13" t="n">
        <x:v>1368.811</x:v>
      </x:c>
    </x:row>
    <x:row r="41" ht="30" customHeight="1">
      <x:c r="B41" s="9" t="str">
        <x:v>CPU scalar-1</x:v>
      </x:c>
      <x:c r="C41" s="15" t="n">
        <x:v>4</x:v>
      </x:c>
      <x:c r="D41" s="11" t="n">
        <x:v>1124.582</x:v>
      </x:c>
    </x:row>
    <x:row r="42" ht="30" customHeight="1">
      <x:c r="B42" s="12" t="str">
        <x:v>CPU scalar-1</x:v>
      </x:c>
      <x:c r="C42" s="18" t="n">
        <x:v>5</x:v>
      </x:c>
      <x:c r="D42" s="13" t="n">
        <x:v>1294.5792000000001</x:v>
      </x:c>
    </x:row>
    <x:row r="43" ht="30" customHeight="1">
      <x:c r="B43" s="9" t="str">
        <x:v>CPU scalar-1</x:v>
      </x:c>
      <x:c r="C43" s="15" t="n">
        <x:v>6</x:v>
      </x:c>
      <x:c r="D43" s="11" t="n">
        <x:v>658.3332</x:v>
      </x:c>
    </x:row>
    <x:row r="44" ht="30" customHeight="1">
      <x:c r="B44" s="12" t="str">
        <x:v>CPU scalar-1</x:v>
      </x:c>
      <x:c r="C44" s="18" t="n">
        <x:v>7</x:v>
      </x:c>
      <x:c r="D44" s="13" t="n">
        <x:v>574.185</x:v>
      </x:c>
    </x:row>
    <x:row r="45" ht="30" customHeight="1">
      <x:c r="B45" s="9" t="str">
        <x:v>CPU scalar-1</x:v>
      </x:c>
      <x:c r="C45" s="15" t="n">
        <x:v>8</x:v>
      </x:c>
      <x:c r="D45" s="11" t="n">
        <x:v>572.452</x:v>
      </x:c>
    </x:row>
    <x:row r="46" ht="30" customHeight="1">
      <x:c r="B46" s="12" t="str">
        <x:v>CPU scalar-1</x:v>
      </x:c>
      <x:c r="C46" s="18" t="n">
        <x:v>9</x:v>
      </x:c>
      <x:c r="D46" s="13" t="n">
        <x:v>1455.2824</x:v>
      </x:c>
    </x:row>
    <x:row r="47" ht="30" customHeight="1">
      <x:c r="B47" s="9" t="str">
        <x:v>CPU scalar-1</x:v>
      </x:c>
      <x:c r="C47" s="15" t="n">
        <x:v>10</x:v>
      </x:c>
      <x:c r="D47" s="11" t="n">
        <x:v>892.89</x:v>
      </x:c>
    </x:row>
    <x:row r="48" ht="30" customHeight="1">
      <x:c r="B48" s="12" t="str">
        <x:v>CPU scalar-1</x:v>
      </x:c>
      <x:c r="C48" s="18" t="n">
        <x:v>11</x:v>
      </x:c>
      <x:c r="D48" s="13" t="n">
        <x:v>1351.6848</x:v>
      </x:c>
    </x:row>
    <x:row r="49" ht="30" customHeight="1">
      <x:c r="B49" s="9" t="str">
        <x:v>CPU scalar-1</x:v>
      </x:c>
      <x:c r="C49" s="15" t="n">
        <x:v>12</x:v>
      </x:c>
      <x:c r="D49" s="11" t="n">
        <x:v>1515.0888</x:v>
      </x:c>
    </x:row>
    <x:row r="50" ht="30" customHeight="1">
      <x:c r="B50" s="12" t="str">
        <x:v>CPU scalar-1</x:v>
      </x:c>
      <x:c r="C50" s="18" t="n">
        <x:v>13</x:v>
      </x:c>
      <x:c r="D50" s="13" t="n">
        <x:v>901.4042</x:v>
      </x:c>
    </x:row>
    <x:row r="51" ht="30" customHeight="1">
      <x:c r="B51" s="9" t="str">
        <x:v>CPU scalar-1</x:v>
      </x:c>
      <x:c r="C51" s="15" t="n">
        <x:v>14</x:v>
      </x:c>
      <x:c r="D51" s="11" t="n">
        <x:v>1451.014</x:v>
      </x:c>
    </x:row>
    <x:row r="52" ht="30" customHeight="1">
      <x:c r="B52" s="12" t="str">
        <x:v>CPU scalar-1</x:v>
      </x:c>
      <x:c r="C52" s="18" t="n">
        <x:v>15</x:v>
      </x:c>
      <x:c r="D52" s="13" t="n">
        <x:v>1606.1872</x:v>
      </x:c>
    </x:row>
    <x:row r="53" ht="30" customHeight="1">
      <x:c r="B53" s="9" t="str">
        <x:v>CPU scalar-1</x:v>
      </x:c>
      <x:c r="C53" s="15" t="n">
        <x:v>16</x:v>
      </x:c>
      <x:c r="D53" s="11" t="n">
        <x:v>1204.3818</x:v>
      </x:c>
    </x:row>
    <x:row r="54" ht="30" customHeight="1">
      <x:c r="B54" s="12" t="str">
        <x:v>CPU scalar-1</x:v>
      </x:c>
      <x:c r="C54" s="18" t="n">
        <x:v>17</x:v>
      </x:c>
      <x:c r="D54" s="13" t="n">
        <x:v>1217.1208</x:v>
      </x:c>
    </x:row>
    <x:row r="55" ht="30" customHeight="1">
      <x:c r="B55" s="9" t="str">
        <x:v>CPU scalar-1</x:v>
      </x:c>
      <x:c r="C55" s="15" t="n">
        <x:v>18</x:v>
      </x:c>
      <x:c r="D55" s="11" t="n">
        <x:v>1360.1698</x:v>
      </x:c>
    </x:row>
    <x:row r="56" ht="30" customHeight="1">
      <x:c r="B56" s="12" t="str">
        <x:v>CPU scalar-1</x:v>
      </x:c>
      <x:c r="C56" s="18" t="n">
        <x:v>19</x:v>
      </x:c>
      <x:c r="D56" s="13" t="n">
        <x:v>576.6964</x:v>
      </x:c>
    </x:row>
    <x:row r="57" ht="30" customHeight="1">
      <x:c r="B57" s="9" t="str">
        <x:v>CPU scalar-1</x:v>
      </x:c>
      <x:c r="C57" s="15" t="n">
        <x:v>20</x:v>
      </x:c>
      <x:c r="D57" s="11" t="n">
        <x:v>498.7918</x:v>
      </x:c>
    </x:row>
    <x:row r="58" ht="30" customHeight="1">
      <x:c r="B58" s="12" t="str">
        <x:v>CPU scalar-1</x:v>
      </x:c>
      <x:c r="C58" s="18" t="n">
        <x:v>21</x:v>
      </x:c>
      <x:c r="D58" s="13" t="n">
        <x:v>333.8278</x:v>
      </x:c>
    </x:row>
    <x:row r="59" ht="30" customHeight="1">
      <x:c r="B59" s="9" t="str">
        <x:v>CPU scalar-1</x:v>
      </x:c>
      <x:c r="C59" s="15" t="n">
        <x:v>22</x:v>
      </x:c>
      <x:c r="D59" s="11" t="n">
        <x:v>970.7648</x:v>
      </x:c>
    </x:row>
    <x:row r="60" ht="30" customHeight="1">
      <x:c r="B60" s="12" t="str">
        <x:v>CPU scalar-1</x:v>
      </x:c>
      <x:c r="C60" s="18" t="n">
        <x:v>23</x:v>
      </x:c>
      <x:c r="D60" s="13" t="n">
        <x:v>959.3876</x:v>
      </x:c>
    </x:row>
    <x:row r="61" ht="30" customHeight="1">
      <x:c r="B61" s="9" t="str">
        <x:v>CPU scalar-1</x:v>
      </x:c>
      <x:c r="C61" s="15" t="n">
        <x:v>24</x:v>
      </x:c>
      <x:c r="D61" s="11" t="n">
        <x:v>1600.6772</x:v>
      </x:c>
    </x:row>
    <x:row r="62" ht="30" customHeight="1">
      <x:c r="B62" s="12" t="str">
        <x:v>CPU scalar-1</x:v>
      </x:c>
      <x:c r="C62" s="18" t="n">
        <x:v>25</x:v>
      </x:c>
      <x:c r="D62" s="13" t="n">
        <x:v>1053.1222</x:v>
      </x:c>
    </x:row>
    <x:row r="63" ht="30" customHeight="1">
      <x:c r="B63" s="9" t="str">
        <x:v>CPU scalar-1</x:v>
      </x:c>
      <x:c r="C63" s="15" t="n">
        <x:v>26</x:v>
      </x:c>
      <x:c r="D63" s="11" t="n">
        <x:v>893.9334</x:v>
      </x:c>
    </x:row>
    <x:row r="64" ht="30" customHeight="1">
      <x:c r="B64" s="12" t="str">
        <x:v>CPU scalar-1</x:v>
      </x:c>
      <x:c r="C64" s="18" t="n">
        <x:v>27</x:v>
      </x:c>
      <x:c r="D64" s="13" t="n">
        <x:v>821.1256</x:v>
      </x:c>
    </x:row>
    <x:row r="65" ht="30" customHeight="1">
      <x:c r="B65" s="9" t="str">
        <x:v>CPU scalar-1</x:v>
      </x:c>
      <x:c r="C65" s="15" t="n">
        <x:v>28</x:v>
      </x:c>
      <x:c r="D65" s="11" t="n">
        <x:v>1297.031</x:v>
      </x:c>
    </x:row>
    <x:row r="66" ht="30" customHeight="1">
      <x:c r="B66" s="12" t="str">
        <x:v>CPU scalar-1</x:v>
      </x:c>
      <x:c r="C66" s="18" t="n">
        <x:v>29</x:v>
      </x:c>
      <x:c r="D66" s="13" t="n">
        <x:v>1608.575</x:v>
      </x:c>
    </x:row>
    <x:row r="67" ht="30" customHeight="1">
      <x:c r="B67" s="9" t="str">
        <x:v>CPU scalar-1</x:v>
      </x:c>
      <x:c r="C67" s="15" t="n">
        <x:v>30</x:v>
      </x:c>
      <x:c r="D67" s="11" t="n">
        <x:v>978.8312</x:v>
      </x:c>
    </x:row>
    <x:row r="68" ht="30" customHeight="1">
      <x:c r="B68" s="12" t="str">
        <x:v>CPU scalar-1</x:v>
      </x:c>
      <x:c r="C68" s="18" t="n">
        <x:v>31</x:v>
      </x:c>
      <x:c r="D68" s="13" t="n">
        <x:v>888.2008</x:v>
      </x:c>
    </x:row>
    <x:row r="69" ht="30" customHeight="1">
      <x:c r="B69" s="9" t="str">
        <x:v>CPU simd-1</x:v>
      </x:c>
      <x:c r="C69" s="15" t="n">
        <x:v>0</x:v>
      </x:c>
      <x:c r="D69" s="11" t="n">
        <x:v>292.5218</x:v>
      </x:c>
    </x:row>
    <x:row r="70" ht="30" customHeight="1">
      <x:c r="B70" s="12" t="str">
        <x:v>CPU simd-1</x:v>
      </x:c>
      <x:c r="C70" s="18" t="n">
        <x:v>1</x:v>
      </x:c>
      <x:c r="D70" s="13" t="n">
        <x:v>1104.2592</x:v>
      </x:c>
    </x:row>
    <x:row r="71" ht="30" customHeight="1">
      <x:c r="B71" s="9" t="str">
        <x:v>CPU simd-1</x:v>
      </x:c>
      <x:c r="C71" s="15" t="n">
        <x:v>2</x:v>
      </x:c>
      <x:c r="D71" s="11" t="n">
        <x:v>902.35</x:v>
      </x:c>
    </x:row>
    <x:row r="72" ht="30" customHeight="1">
      <x:c r="B72" s="12" t="str">
        <x:v>CPU simd-1</x:v>
      </x:c>
      <x:c r="C72" s="18" t="n">
        <x:v>3</x:v>
      </x:c>
      <x:c r="D72" s="13" t="n">
        <x:v>1167.7744</x:v>
      </x:c>
    </x:row>
    <x:row r="73" ht="30" customHeight="1">
      <x:c r="B73" s="9" t="str">
        <x:v>CPU simd-1</x:v>
      </x:c>
      <x:c r="C73" s="15" t="n">
        <x:v>4</x:v>
      </x:c>
      <x:c r="D73" s="11" t="n">
        <x:v>956.9258</x:v>
      </x:c>
    </x:row>
    <x:row r="74" ht="30" customHeight="1">
      <x:c r="B74" s="12" t="str">
        <x:v>CPU simd-1</x:v>
      </x:c>
      <x:c r="C74" s="18" t="n">
        <x:v>5</x:v>
      </x:c>
      <x:c r="D74" s="13" t="n">
        <x:v>1109.2026</x:v>
      </x:c>
    </x:row>
    <x:row r="75" ht="30" customHeight="1">
      <x:c r="B75" s="9" t="str">
        <x:v>CPU simd-1</x:v>
      </x:c>
      <x:c r="C75" s="15" t="n">
        <x:v>6</x:v>
      </x:c>
      <x:c r="D75" s="11" t="n">
        <x:v>565.3716000000001</x:v>
      </x:c>
    </x:row>
    <x:row r="76" ht="30" customHeight="1">
      <x:c r="B76" s="12" t="str">
        <x:v>CPU simd-1</x:v>
      </x:c>
      <x:c r="C76" s="18" t="n">
        <x:v>7</x:v>
      </x:c>
      <x:c r="D76" s="13" t="n">
        <x:v>497.0868</x:v>
      </x:c>
    </x:row>
    <x:row r="77" ht="30" customHeight="1">
      <x:c r="B77" s="9" t="str">
        <x:v>CPU simd-1</x:v>
      </x:c>
      <x:c r="C77" s="15" t="n">
        <x:v>8</x:v>
      </x:c>
      <x:c r="D77" s="11" t="n">
        <x:v>487.1702</x:v>
      </x:c>
    </x:row>
    <x:row r="78" ht="30" customHeight="1">
      <x:c r="B78" s="12" t="str">
        <x:v>CPU simd-1</x:v>
      </x:c>
      <x:c r="C78" s="18" t="n">
        <x:v>9</x:v>
      </x:c>
      <x:c r="D78" s="13" t="n">
        <x:v>1250.329</x:v>
      </x:c>
    </x:row>
    <x:row r="79" ht="30" customHeight="1">
      <x:c r="B79" s="9" t="str">
        <x:v>CPU simd-1</x:v>
      </x:c>
      <x:c r="C79" s="15" t="n">
        <x:v>10</x:v>
      </x:c>
      <x:c r="D79" s="11" t="n">
        <x:v>765.0072</x:v>
      </x:c>
    </x:row>
    <x:row r="80" ht="30" customHeight="1">
      <x:c r="B80" s="12" t="str">
        <x:v>CPU simd-1</x:v>
      </x:c>
      <x:c r="C80" s="18" t="n">
        <x:v>11</x:v>
      </x:c>
      <x:c r="D80" s="13" t="n">
        <x:v>1145.389</x:v>
      </x:c>
    </x:row>
    <x:row r="81" ht="30" customHeight="1">
      <x:c r="B81" s="9" t="str">
        <x:v>CPU simd-1</x:v>
      </x:c>
      <x:c r="C81" s="15" t="n">
        <x:v>12</x:v>
      </x:c>
      <x:c r="D81" s="11" t="n">
        <x:v>1285.0368</x:v>
      </x:c>
    </x:row>
    <x:row r="82" ht="30" customHeight="1">
      <x:c r="B82" s="12" t="str">
        <x:v>CPU simd-1</x:v>
      </x:c>
      <x:c r="C82" s="18" t="n">
        <x:v>13</x:v>
      </x:c>
      <x:c r="D82" s="13" t="n">
        <x:v>775.4352</x:v>
      </x:c>
    </x:row>
    <x:row r="83" ht="30" customHeight="1">
      <x:c r="B83" s="9" t="str">
        <x:v>CPU simd-1</x:v>
      </x:c>
      <x:c r="C83" s="15" t="n">
        <x:v>14</x:v>
      </x:c>
      <x:c r="D83" s="11" t="n">
        <x:v>1243.212</x:v>
      </x:c>
    </x:row>
    <x:row r="84" ht="30" customHeight="1">
      <x:c r="B84" s="12" t="str">
        <x:v>CPU simd-1</x:v>
      </x:c>
      <x:c r="C84" s="18" t="n">
        <x:v>15</x:v>
      </x:c>
      <x:c r="D84" s="13" t="n">
        <x:v>1374.0868</x:v>
      </x:c>
    </x:row>
    <x:row r="85" ht="30" customHeight="1">
      <x:c r="B85" s="9" t="str">
        <x:v>CPU simd-1</x:v>
      </x:c>
      <x:c r="C85" s="15" t="n">
        <x:v>16</x:v>
      </x:c>
      <x:c r="D85" s="11" t="n">
        <x:v>1024.0088</x:v>
      </x:c>
    </x:row>
    <x:row r="86" ht="30" customHeight="1">
      <x:c r="B86" s="12" t="str">
        <x:v>CPU simd-1</x:v>
      </x:c>
      <x:c r="C86" s="18" t="n">
        <x:v>17</x:v>
      </x:c>
      <x:c r="D86" s="13" t="n">
        <x:v>1046.7572</x:v>
      </x:c>
    </x:row>
    <x:row r="87" ht="30" customHeight="1">
      <x:c r="B87" s="9" t="str">
        <x:v>CPU simd-1</x:v>
      </x:c>
      <x:c r="C87" s="15" t="n">
        <x:v>18</x:v>
      </x:c>
      <x:c r="D87" s="11" t="n">
        <x:v>1156.4214</x:v>
      </x:c>
    </x:row>
    <x:row r="88" ht="30" customHeight="1">
      <x:c r="B88" s="12" t="str">
        <x:v>CPU simd-1</x:v>
      </x:c>
      <x:c r="C88" s="18" t="n">
        <x:v>19</x:v>
      </x:c>
      <x:c r="D88" s="13" t="n">
        <x:v>498.8878</x:v>
      </x:c>
    </x:row>
    <x:row r="89" ht="30" customHeight="1">
      <x:c r="B89" s="9" t="str">
        <x:v>CPU simd-1</x:v>
      </x:c>
      <x:c r="C89" s="15" t="n">
        <x:v>20</x:v>
      </x:c>
      <x:c r="D89" s="11" t="n">
        <x:v>430.3546</x:v>
      </x:c>
    </x:row>
    <x:row r="90" ht="30" customHeight="1">
      <x:c r="B90" s="12" t="str">
        <x:v>CPU simd-1</x:v>
      </x:c>
      <x:c r="C90" s="18" t="n">
        <x:v>21</x:v>
      </x:c>
      <x:c r="D90" s="13" t="n">
        <x:v>292.3556</x:v>
      </x:c>
    </x:row>
    <x:row r="91" ht="30" customHeight="1">
      <x:c r="B91" s="9" t="str">
        <x:v>CPU simd-1</x:v>
      </x:c>
      <x:c r="C91" s="15" t="n">
        <x:v>22</x:v>
      </x:c>
      <x:c r="D91" s="11" t="n">
        <x:v>827.2529999999999</x:v>
      </x:c>
    </x:row>
    <x:row r="92" ht="30" customHeight="1">
      <x:c r="B92" s="12" t="str">
        <x:v>CPU simd-1</x:v>
      </x:c>
      <x:c r="C92" s="18" t="n">
        <x:v>23</x:v>
      </x:c>
      <x:c r="D92" s="13" t="n">
        <x:v>812.691</x:v>
      </x:c>
    </x:row>
    <x:row r="93" ht="30" customHeight="1">
      <x:c r="B93" s="9" t="str">
        <x:v>CPU simd-1</x:v>
      </x:c>
      <x:c r="C93" s="15" t="n">
        <x:v>24</x:v>
      </x:c>
      <x:c r="D93" s="11" t="n">
        <x:v>1370.0828000000001</x:v>
      </x:c>
    </x:row>
    <x:row r="94" ht="30" customHeight="1">
      <x:c r="B94" s="12" t="str">
        <x:v>CPU simd-1</x:v>
      </x:c>
      <x:c r="C94" s="18" t="n">
        <x:v>25</x:v>
      </x:c>
      <x:c r="D94" s="13" t="n">
        <x:v>901.0717999999999</x:v>
      </x:c>
    </x:row>
    <x:row r="95" ht="30" customHeight="1">
      <x:c r="B95" s="9" t="str">
        <x:v>CPU simd-1</x:v>
      </x:c>
      <x:c r="C95" s="15" t="n">
        <x:v>26</x:v>
      </x:c>
      <x:c r="D95" s="11" t="n">
        <x:v>764.3184</x:v>
      </x:c>
    </x:row>
    <x:row r="96" ht="30" customHeight="1">
      <x:c r="B96" s="12" t="str">
        <x:v>CPU simd-1</x:v>
      </x:c>
      <x:c r="C96" s="18" t="n">
        <x:v>27</x:v>
      </x:c>
      <x:c r="D96" s="13" t="n">
        <x:v>708.5066</x:v>
      </x:c>
    </x:row>
    <x:row r="97" ht="30" customHeight="1">
      <x:c r="B97" s="9" t="str">
        <x:v>CPU simd-1</x:v>
      </x:c>
      <x:c r="C97" s="15" t="n">
        <x:v>28</x:v>
      </x:c>
      <x:c r="D97" s="11" t="n">
        <x:v>1115.4278</x:v>
      </x:c>
    </x:row>
    <x:row r="98" ht="30" customHeight="1">
      <x:c r="B98" s="12" t="str">
        <x:v>CPU simd-1</x:v>
      </x:c>
      <x:c r="C98" s="18" t="n">
        <x:v>29</x:v>
      </x:c>
      <x:c r="D98" s="13" t="n">
        <x:v>1381.1034</x:v>
      </x:c>
    </x:row>
    <x:row r="99" ht="30" customHeight="1">
      <x:c r="B99" s="9" t="str">
        <x:v>CPU simd-1</x:v>
      </x:c>
      <x:c r="C99" s="15" t="n">
        <x:v>30</x:v>
      </x:c>
      <x:c r="D99" s="11" t="n">
        <x:v>840.9774</x:v>
      </x:c>
    </x:row>
    <x:row r="100" ht="30" customHeight="1">
      <x:c r="B100" s="12" t="str">
        <x:v>CPU simd-1</x:v>
      </x:c>
      <x:c r="C100" s="18" t="n">
        <x:v>31</x:v>
      </x:c>
      <x:c r="D100" s="13" t="n">
        <x:v>755.898</x:v>
      </x:c>
    </x:row>
    <x:row r="101" ht="30" customHeight="1">
      <x:c r="B101" s="9" t="str">
        <x:v>CPU simd-4</x:v>
      </x:c>
      <x:c r="C101" s="15" t="n">
        <x:v>0</x:v>
      </x:c>
      <x:c r="D101" s="11" t="n">
        <x:v>456.522</x:v>
      </x:c>
    </x:row>
    <x:row r="102" ht="30" customHeight="1">
      <x:c r="B102" s="12" t="str">
        <x:v>CPU simd-4</x:v>
      </x:c>
      <x:c r="C102" s="18" t="n">
        <x:v>1</x:v>
      </x:c>
      <x:c r="D102" s="13" t="n">
        <x:v>1758.1058</x:v>
      </x:c>
    </x:row>
    <x:row r="103" ht="30" customHeight="1">
      <x:c r="B103" s="9" t="str">
        <x:v>CPU simd-4</x:v>
      </x:c>
      <x:c r="C103" s="15" t="n">
        <x:v>2</x:v>
      </x:c>
      <x:c r="D103" s="11" t="n">
        <x:v>1453.9626</x:v>
      </x:c>
    </x:row>
    <x:row r="104" ht="30" customHeight="1">
      <x:c r="B104" s="12" t="str">
        <x:v>CPU simd-4</x:v>
      </x:c>
      <x:c r="C104" s="18" t="n">
        <x:v>3</x:v>
      </x:c>
      <x:c r="D104" s="13" t="n">
        <x:v>1886.41</x:v>
      </x:c>
    </x:row>
    <x:row r="105" ht="30" customHeight="1">
      <x:c r="B105" s="9" t="str">
        <x:v>CPU simd-4</x:v>
      </x:c>
      <x:c r="C105" s="15" t="n">
        <x:v>4</x:v>
      </x:c>
      <x:c r="D105" s="11" t="n">
        <x:v>1534.2333999999998</x:v>
      </x:c>
    </x:row>
    <x:row r="106" ht="30" customHeight="1">
      <x:c r="B106" s="12" t="str">
        <x:v>CPU simd-4</x:v>
      </x:c>
      <x:c r="C106" s="18" t="n">
        <x:v>5</x:v>
      </x:c>
      <x:c r="D106" s="13" t="n">
        <x:v>1757.9534</x:v>
      </x:c>
    </x:row>
    <x:row r="107" ht="30" customHeight="1">
      <x:c r="B107" s="9" t="str">
        <x:v>CPU simd-4</x:v>
      </x:c>
      <x:c r="C107" s="15" t="n">
        <x:v>6</x:v>
      </x:c>
      <x:c r="D107" s="11" t="n">
        <x:v>898.7944</x:v>
      </x:c>
    </x:row>
    <x:row r="108" ht="30" customHeight="1">
      <x:c r="B108" s="12" t="str">
        <x:v>CPU simd-4</x:v>
      </x:c>
      <x:c r="C108" s="18" t="n">
        <x:v>7</x:v>
      </x:c>
      <x:c r="D108" s="13" t="n">
        <x:v>796.272</x:v>
      </x:c>
    </x:row>
    <x:row r="109" ht="30" customHeight="1">
      <x:c r="B109" s="9" t="str">
        <x:v>CPU simd-4</x:v>
      </x:c>
      <x:c r="C109" s="15" t="n">
        <x:v>8</x:v>
      </x:c>
      <x:c r="D109" s="11" t="n">
        <x:v>792.1444</x:v>
      </x:c>
    </x:row>
    <x:row r="110" ht="30" customHeight="1">
      <x:c r="B110" s="12" t="str">
        <x:v>CPU simd-4</x:v>
      </x:c>
      <x:c r="C110" s="18" t="n">
        <x:v>9</x:v>
      </x:c>
      <x:c r="D110" s="13" t="n">
        <x:v>2019.855</x:v>
      </x:c>
    </x:row>
    <x:row r="111" ht="30" customHeight="1">
      <x:c r="B111" s="9" t="str">
        <x:v>CPU simd-4</x:v>
      </x:c>
      <x:c r="C111" s="15" t="n">
        <x:v>10</x:v>
      </x:c>
      <x:c r="D111" s="11" t="n">
        <x:v>1239.5222</x:v>
      </x:c>
    </x:row>
    <x:row r="112" ht="30" customHeight="1">
      <x:c r="B112" s="12" t="str">
        <x:v>CPU simd-4</x:v>
      </x:c>
      <x:c r="C112" s="18" t="n">
        <x:v>11</x:v>
      </x:c>
      <x:c r="D112" s="13" t="n">
        <x:v>1867.4058</x:v>
      </x:c>
    </x:row>
    <x:row r="113" ht="30" customHeight="1">
      <x:c r="B113" s="9" t="str">
        <x:v>CPU simd-4</x:v>
      </x:c>
      <x:c r="C113" s="15" t="n">
        <x:v>12</x:v>
      </x:c>
      <x:c r="D113" s="11" t="n">
        <x:v>2085.2252</x:v>
      </x:c>
    </x:row>
    <x:row r="114" ht="30" customHeight="1">
      <x:c r="B114" s="12" t="str">
        <x:v>CPU simd-4</x:v>
      </x:c>
      <x:c r="C114" s="18" t="n">
        <x:v>13</x:v>
      </x:c>
      <x:c r="D114" s="13" t="n">
        <x:v>1201.7674</x:v>
      </x:c>
    </x:row>
    <x:row r="115" ht="30" customHeight="1">
      <x:c r="B115" s="9" t="str">
        <x:v>CPU simd-4</x:v>
      </x:c>
      <x:c r="C115" s="15" t="n">
        <x:v>14</x:v>
      </x:c>
      <x:c r="D115" s="11" t="n">
        <x:v>1933.5414</x:v>
      </x:c>
    </x:row>
    <x:row r="116" ht="30" customHeight="1">
      <x:c r="B116" s="12" t="str">
        <x:v>CPU simd-4</x:v>
      </x:c>
      <x:c r="C116" s="18" t="n">
        <x:v>15</x:v>
      </x:c>
      <x:c r="D116" s="13" t="n">
        <x:v>2179.1762</x:v>
      </x:c>
    </x:row>
    <x:row r="117" ht="30" customHeight="1">
      <x:c r="B117" s="9" t="str">
        <x:v>CPU simd-4</x:v>
      </x:c>
      <x:c r="C117" s="15" t="n">
        <x:v>16</x:v>
      </x:c>
      <x:c r="D117" s="11" t="n">
        <x:v>1623.3492</x:v>
      </x:c>
    </x:row>
    <x:row r="118" ht="30" customHeight="1">
      <x:c r="B118" s="12" t="str">
        <x:v>CPU simd-4</x:v>
      </x:c>
      <x:c r="C118" s="18" t="n">
        <x:v>17</x:v>
      </x:c>
      <x:c r="D118" s="13" t="n">
        <x:v>1614.8862000000001</x:v>
      </x:c>
    </x:row>
    <x:row r="119" ht="30" customHeight="1">
      <x:c r="B119" s="9" t="str">
        <x:v>CPU simd-4</x:v>
      </x:c>
      <x:c r="C119" s="15" t="n">
        <x:v>18</x:v>
      </x:c>
      <x:c r="D119" s="11" t="n">
        <x:v>1820.9838</x:v>
      </x:c>
    </x:row>
    <x:row r="120" ht="30" customHeight="1">
      <x:c r="B120" s="12" t="str">
        <x:v>CPU simd-4</x:v>
      </x:c>
      <x:c r="C120" s="18" t="n">
        <x:v>19</x:v>
      </x:c>
      <x:c r="D120" s="13" t="n">
        <x:v>775.2888</x:v>
      </x:c>
    </x:row>
    <x:row r="121" ht="30" customHeight="1">
      <x:c r="B121" s="9" t="str">
        <x:v>CPU simd-4</x:v>
      </x:c>
      <x:c r="C121" s="15" t="n">
        <x:v>20</x:v>
      </x:c>
      <x:c r="D121" s="11" t="n">
        <x:v>664.9532</x:v>
      </x:c>
    </x:row>
    <x:row r="122" ht="30" customHeight="1">
      <x:c r="B122" s="12" t="str">
        <x:v>CPU simd-4</x:v>
      </x:c>
      <x:c r="C122" s="18" t="n">
        <x:v>21</x:v>
      </x:c>
      <x:c r="D122" s="13" t="n">
        <x:v>447.9292</x:v>
      </x:c>
    </x:row>
    <x:row r="123" ht="30" customHeight="1">
      <x:c r="B123" s="9" t="str">
        <x:v>CPU simd-4</x:v>
      </x:c>
      <x:c r="C123" s="15" t="n">
        <x:v>22</x:v>
      </x:c>
      <x:c r="D123" s="11" t="n">
        <x:v>1288.5704</x:v>
      </x:c>
    </x:row>
    <x:row r="124" ht="30" customHeight="1">
      <x:c r="B124" s="12" t="str">
        <x:v>CPU simd-4</x:v>
      </x:c>
      <x:c r="C124" s="18" t="n">
        <x:v>23</x:v>
      </x:c>
      <x:c r="D124" s="13" t="n">
        <x:v>1277.8542</x:v>
      </x:c>
    </x:row>
    <x:row r="125" ht="30" customHeight="1">
      <x:c r="B125" s="9" t="str">
        <x:v>CPU simd-4</x:v>
      </x:c>
      <x:c r="C125" s="15" t="n">
        <x:v>24</x:v>
      </x:c>
      <x:c r="D125" s="11" t="n">
        <x:v>2129.7642</x:v>
      </x:c>
    </x:row>
    <x:row r="126" ht="30" customHeight="1">
      <x:c r="B126" s="12" t="str">
        <x:v>CPU simd-4</x:v>
      </x:c>
      <x:c r="C126" s="18" t="n">
        <x:v>25</x:v>
      </x:c>
      <x:c r="D126" s="13" t="n">
        <x:v>1412.1796</x:v>
      </x:c>
    </x:row>
    <x:row r="127" ht="30" customHeight="1">
      <x:c r="B127" s="9" t="str">
        <x:v>CPU simd-4</x:v>
      </x:c>
      <x:c r="C127" s="15" t="n">
        <x:v>26</x:v>
      </x:c>
      <x:c r="D127" s="11" t="n">
        <x:v>1160.616</x:v>
      </x:c>
    </x:row>
    <x:row r="128" ht="30" customHeight="1">
      <x:c r="B128" s="12" t="str">
        <x:v>CPU simd-4</x:v>
      </x:c>
      <x:c r="C128" s="18" t="n">
        <x:v>27</x:v>
      </x:c>
      <x:c r="D128" s="13" t="n">
        <x:v>1041.1268</x:v>
      </x:c>
    </x:row>
    <x:row r="129" ht="30" customHeight="1">
      <x:c r="B129" s="9" t="str">
        <x:v>CPU simd-4</x:v>
      </x:c>
      <x:c r="C129" s="15" t="n">
        <x:v>28</x:v>
      </x:c>
      <x:c r="D129" s="11" t="n">
        <x:v>1638.0994</x:v>
      </x:c>
    </x:row>
    <x:row r="130" ht="30" customHeight="1">
      <x:c r="B130" s="12" t="str">
        <x:v>CPU simd-4</x:v>
      </x:c>
      <x:c r="C130" s="18" t="n">
        <x:v>29</x:v>
      </x:c>
      <x:c r="D130" s="13" t="n">
        <x:v>2045.2574</x:v>
      </x:c>
    </x:row>
    <x:row r="131" ht="30" customHeight="1">
      <x:c r="B131" s="9" t="str">
        <x:v>CPU simd-4</x:v>
      </x:c>
      <x:c r="C131" s="15" t="n">
        <x:v>30</x:v>
      </x:c>
      <x:c r="D131" s="11" t="n">
        <x:v>1249.1728</x:v>
      </x:c>
    </x:row>
    <x:row r="132" ht="30" customHeight="1">
      <x:c r="B132" s="12" t="str">
        <x:v>CPU simd-4</x:v>
      </x:c>
      <x:c r="C132" s="18" t="n">
        <x:v>31</x:v>
      </x:c>
      <x:c r="D132" s="13" t="n">
        <x:v>1129.0944</x:v>
      </x:c>
    </x:row>
    <x:row r="133" ht="30" customHeight="1">
      <x:c r="B133" s="9" t="str">
        <x:v>CPU simd-8</x:v>
      </x:c>
      <x:c r="C133" s="15" t="n">
        <x:v>0</x:v>
      </x:c>
      <x:c r="D133" s="11" t="n">
        <x:v>546.5794</x:v>
      </x:c>
    </x:row>
    <x:row r="134" ht="30" customHeight="1">
      <x:c r="B134" s="12" t="str">
        <x:v>CPU simd-8</x:v>
      </x:c>
      <x:c r="C134" s="18" t="n">
        <x:v>1</x:v>
      </x:c>
      <x:c r="D134" s="13" t="n">
        <x:v>2152.4682000000003</x:v>
      </x:c>
    </x:row>
    <x:row r="135" ht="30" customHeight="1">
      <x:c r="B135" s="9" t="str">
        <x:v>CPU simd-8</x:v>
      </x:c>
      <x:c r="C135" s="15" t="n">
        <x:v>2</x:v>
      </x:c>
      <x:c r="D135" s="11" t="n">
        <x:v>1757.7888</x:v>
      </x:c>
    </x:row>
    <x:row r="136" ht="30" customHeight="1">
      <x:c r="B136" s="12" t="str">
        <x:v>CPU simd-8</x:v>
      </x:c>
      <x:c r="C136" s="18" t="n">
        <x:v>3</x:v>
      </x:c>
      <x:c r="D136" s="13" t="n">
        <x:v>2298.123</x:v>
      </x:c>
    </x:row>
    <x:row r="137" ht="30" customHeight="1">
      <x:c r="B137" s="9" t="str">
        <x:v>CPU simd-8</x:v>
      </x:c>
      <x:c r="C137" s="15" t="n">
        <x:v>4</x:v>
      </x:c>
      <x:c r="D137" s="11" t="n">
        <x:v>1886.2742</x:v>
      </x:c>
    </x:row>
    <x:row r="138" ht="30" customHeight="1">
      <x:c r="B138" s="12" t="str">
        <x:v>CPU simd-8</x:v>
      </x:c>
      <x:c r="C138" s="18" t="n">
        <x:v>5</x:v>
      </x:c>
      <x:c r="D138" s="13" t="n">
        <x:v>2160.0458</x:v>
      </x:c>
    </x:row>
    <x:row r="139" ht="30" customHeight="1">
      <x:c r="B139" s="9" t="str">
        <x:v>CPU simd-8</x:v>
      </x:c>
      <x:c r="C139" s="15" t="n">
        <x:v>6</x:v>
      </x:c>
      <x:c r="D139" s="11" t="n">
        <x:v>1092.884</x:v>
      </x:c>
    </x:row>
    <x:row r="140" ht="30" customHeight="1">
      <x:c r="B140" s="12" t="str">
        <x:v>CPU simd-8</x:v>
      </x:c>
      <x:c r="C140" s="18" t="n">
        <x:v>7</x:v>
      </x:c>
      <x:c r="D140" s="13" t="n">
        <x:v>955.1714000000001</x:v>
      </x:c>
    </x:row>
    <x:row r="141" ht="30" customHeight="1">
      <x:c r="B141" s="9" t="str">
        <x:v>CPU simd-8</x:v>
      </x:c>
      <x:c r="C141" s="15" t="n">
        <x:v>8</x:v>
      </x:c>
      <x:c r="D141" s="11" t="n">
        <x:v>953.9792</x:v>
      </x:c>
    </x:row>
    <x:row r="142" ht="30" customHeight="1">
      <x:c r="B142" s="12" t="str">
        <x:v>CPU simd-8</x:v>
      </x:c>
      <x:c r="C142" s="18" t="n">
        <x:v>9</x:v>
      </x:c>
      <x:c r="D142" s="13" t="n">
        <x:v>2430.676</x:v>
      </x:c>
    </x:row>
    <x:row r="143" ht="30" customHeight="1">
      <x:c r="B143" s="9" t="str">
        <x:v>CPU simd-8</x:v>
      </x:c>
      <x:c r="C143" s="15" t="n">
        <x:v>10</x:v>
      </x:c>
      <x:c r="D143" s="11" t="n">
        <x:v>1499.5088</x:v>
      </x:c>
    </x:row>
    <x:row r="144" ht="30" customHeight="1">
      <x:c r="B144" s="12" t="str">
        <x:v>CPU simd-8</x:v>
      </x:c>
      <x:c r="C144" s="18" t="n">
        <x:v>11</x:v>
      </x:c>
      <x:c r="D144" s="13" t="n">
        <x:v>2292.5446</x:v>
      </x:c>
    </x:row>
    <x:row r="145" ht="30" customHeight="1">
      <x:c r="B145" s="9" t="str">
        <x:v>CPU simd-8</x:v>
      </x:c>
      <x:c r="C145" s="15" t="n">
        <x:v>12</x:v>
      </x:c>
      <x:c r="D145" s="11" t="n">
        <x:v>2571.3577999999998</x:v>
      </x:c>
    </x:row>
    <x:row r="146" ht="30" customHeight="1">
      <x:c r="B146" s="12" t="str">
        <x:v>CPU simd-8</x:v>
      </x:c>
      <x:c r="C146" s="18" t="n">
        <x:v>13</x:v>
      </x:c>
      <x:c r="D146" s="13" t="n">
        <x:v>1509.2214</x:v>
      </x:c>
    </x:row>
    <x:row r="147" ht="30" customHeight="1">
      <x:c r="B147" s="9" t="str">
        <x:v>CPU simd-8</x:v>
      </x:c>
      <x:c r="C147" s="15" t="n">
        <x:v>14</x:v>
      </x:c>
      <x:c r="D147" s="11" t="n">
        <x:v>2453.4626</x:v>
      </x:c>
    </x:row>
    <x:row r="148" ht="30" customHeight="1">
      <x:c r="B148" s="12" t="str">
        <x:v>CPU simd-8</x:v>
      </x:c>
      <x:c r="C148" s="18" t="n">
        <x:v>15</x:v>
      </x:c>
      <x:c r="D148" s="13" t="n">
        <x:v>2721.6492</x:v>
      </x:c>
    </x:row>
    <x:row r="149" ht="30" customHeight="1">
      <x:c r="B149" s="9" t="str">
        <x:v>CPU simd-8</x:v>
      </x:c>
      <x:c r="C149" s="15" t="n">
        <x:v>16</x:v>
      </x:c>
      <x:c r="D149" s="11" t="n">
        <x:v>2037.035</x:v>
      </x:c>
    </x:row>
    <x:row r="150" ht="30" customHeight="1">
      <x:c r="B150" s="12" t="str">
        <x:v>CPU simd-8</x:v>
      </x:c>
      <x:c r="C150" s="18" t="n">
        <x:v>17</x:v>
      </x:c>
      <x:c r="D150" s="13" t="n">
        <x:v>2039.5344</x:v>
      </x:c>
    </x:row>
    <x:row r="151" ht="30" customHeight="1">
      <x:c r="B151" s="9" t="str">
        <x:v>CPU simd-8</x:v>
      </x:c>
      <x:c r="C151" s="15" t="n">
        <x:v>18</x:v>
      </x:c>
      <x:c r="D151" s="11" t="n">
        <x:v>2305.6102</x:v>
      </x:c>
    </x:row>
    <x:row r="152" ht="30" customHeight="1">
      <x:c r="B152" s="12" t="str">
        <x:v>CPU simd-8</x:v>
      </x:c>
      <x:c r="C152" s="18" t="n">
        <x:v>19</x:v>
      </x:c>
      <x:c r="D152" s="13" t="n">
        <x:v>952.8894</x:v>
      </x:c>
    </x:row>
    <x:row r="153" ht="30" customHeight="1">
      <x:c r="B153" s="9" t="str">
        <x:v>CPU simd-8</x:v>
      </x:c>
      <x:c r="C153" s="15" t="n">
        <x:v>20</x:v>
      </x:c>
      <x:c r="D153" s="11" t="n">
        <x:v>821.5506</x:v>
      </x:c>
    </x:row>
    <x:row r="154" ht="30" customHeight="1">
      <x:c r="B154" s="12" t="str">
        <x:v>CPU simd-8</x:v>
      </x:c>
      <x:c r="C154" s="18" t="n">
        <x:v>21</x:v>
      </x:c>
      <x:c r="D154" s="13" t="n">
        <x:v>553.8782</x:v>
      </x:c>
    </x:row>
    <x:row r="155" ht="30" customHeight="1">
      <x:c r="B155" s="9" t="str">
        <x:v>CPU simd-8</x:v>
      </x:c>
      <x:c r="C155" s="15" t="n">
        <x:v>22</x:v>
      </x:c>
      <x:c r="D155" s="11" t="n">
        <x:v>1636.0144</x:v>
      </x:c>
    </x:row>
    <x:row r="156" ht="30" customHeight="1">
      <x:c r="B156" s="12" t="str">
        <x:v>CPU simd-8</x:v>
      </x:c>
      <x:c r="C156" s="18" t="n">
        <x:v>23</x:v>
      </x:c>
      <x:c r="D156" s="13" t="n">
        <x:v>1627.5316</x:v>
      </x:c>
    </x:row>
    <x:row r="157" ht="30" customHeight="1">
      <x:c r="B157" s="9" t="str">
        <x:v>CPU simd-8</x:v>
      </x:c>
      <x:c r="C157" s="15" t="n">
        <x:v>24</x:v>
      </x:c>
      <x:c r="D157" s="11" t="n">
        <x:v>2716.9386</x:v>
      </x:c>
    </x:row>
    <x:row r="158" ht="30" customHeight="1">
      <x:c r="B158" s="12" t="str">
        <x:v>CPU simd-8</x:v>
      </x:c>
      <x:c r="C158" s="18" t="n">
        <x:v>25</x:v>
      </x:c>
      <x:c r="D158" s="13" t="n">
        <x:v>1768.9278</x:v>
      </x:c>
    </x:row>
    <x:row r="159" ht="30" customHeight="1">
      <x:c r="B159" s="9" t="str">
        <x:v>CPU simd-8</x:v>
      </x:c>
      <x:c r="C159" s="15" t="n">
        <x:v>26</x:v>
      </x:c>
      <x:c r="D159" s="11" t="n">
        <x:v>1498.8986</x:v>
      </x:c>
    </x:row>
    <x:row r="160" ht="30" customHeight="1">
      <x:c r="B160" s="12" t="str">
        <x:v>CPU simd-8</x:v>
      </x:c>
      <x:c r="C160" s="18" t="n">
        <x:v>27</x:v>
      </x:c>
      <x:c r="D160" s="13" t="n">
        <x:v>1372.44</x:v>
      </x:c>
    </x:row>
    <x:row r="161" ht="30" customHeight="1">
      <x:c r="B161" s="9" t="str">
        <x:v>CPU simd-8</x:v>
      </x:c>
      <x:c r="C161" s="15" t="n">
        <x:v>28</x:v>
      </x:c>
      <x:c r="D161" s="11" t="n">
        <x:v>2170.9138</x:v>
      </x:c>
    </x:row>
    <x:row r="162" ht="30" customHeight="1">
      <x:c r="B162" s="12" t="str">
        <x:v>CPU simd-8</x:v>
      </x:c>
      <x:c r="C162" s="18" t="n">
        <x:v>29</x:v>
      </x:c>
      <x:c r="D162" s="13" t="n">
        <x:v>2705.503</x:v>
      </x:c>
    </x:row>
    <x:row r="163" ht="30" customHeight="1">
      <x:c r="B163" s="9" t="str">
        <x:v>CPU simd-8</x:v>
      </x:c>
      <x:c r="C163" s="15" t="n">
        <x:v>30</x:v>
      </x:c>
      <x:c r="D163" s="11" t="n">
        <x:v>1639.171</x:v>
      </x:c>
    </x:row>
    <x:row r="164" ht="30" customHeight="1">
      <x:c r="B164" s="12" t="str">
        <x:v>CPU simd-8</x:v>
      </x:c>
      <x:c r="C164" s="18" t="n">
        <x:v>31</x:v>
      </x:c>
      <x:c r="D164" s="13" t="n">
        <x:v>1489.1836</x:v>
      </x:c>
    </x:row>
    <x:row r="165" ht="30" customHeight="1">
      <x:c r="B165" s="9" t="str">
        <x:v>GPU device</x:v>
      </x:c>
      <x:c r="C165" s="15" t="n">
        <x:v>0</x:v>
      </x:c>
      <x:c r="D165" s="11" t="n">
        <x:v>185.74079871177673</x:v>
      </x:c>
    </x:row>
    <x:row r="166" ht="30" customHeight="1">
      <x:c r="B166" s="12" t="str">
        <x:v>GPU device</x:v>
      </x:c>
      <x:c r="C166" s="18" t="n">
        <x:v>1</x:v>
      </x:c>
      <x:c r="D166" s="13" t="n">
        <x:v>278.3232033252716</x:v>
      </x:c>
    </x:row>
    <x:row r="167" ht="30" customHeight="1">
      <x:c r="B167" s="9" t="str">
        <x:v>GPU device</x:v>
      </x:c>
      <x:c r="C167" s="15" t="n">
        <x:v>2</x:v>
      </x:c>
      <x:c r="D167" s="11" t="n">
        <x:v>255.3856074810028</x:v>
      </x:c>
    </x:row>
    <x:row r="168" ht="30" customHeight="1">
      <x:c r="B168" s="12" t="str">
        <x:v>GPU device</x:v>
      </x:c>
      <x:c r="C168" s="18" t="n">
        <x:v>3</x:v>
      </x:c>
      <x:c r="D168" s="13" t="n">
        <x:v>286.10560297966003</x:v>
      </x:c>
    </x:row>
    <x:row r="169" ht="30" customHeight="1">
      <x:c r="B169" s="9" t="str">
        <x:v>GPU device</x:v>
      </x:c>
      <x:c r="C169" s="15" t="n">
        <x:v>4</x:v>
      </x:c>
      <x:c r="D169" s="11" t="n">
        <x:v>263.34080696105957</x:v>
      </x:c>
    </x:row>
    <x:row r="170" ht="30" customHeight="1">
      <x:c r="B170" s="12" t="str">
        <x:v>GPU device</x:v>
      </x:c>
      <x:c r="C170" s="18" t="n">
        <x:v>5</x:v>
      </x:c>
      <x:c r="D170" s="13" t="n">
        <x:v>278.8864076137543</x:v>
      </x:c>
    </x:row>
    <x:row r="171" ht="30" customHeight="1">
      <x:c r="B171" s="9" t="str">
        <x:v>GPU device</x:v>
      </x:c>
      <x:c r="C171" s="15" t="n">
        <x:v>6</x:v>
      </x:c>
      <x:c r="D171" s="11" t="n">
        <x:v>215.85920453071594</x:v>
      </x:c>
    </x:row>
    <x:row r="172" ht="30" customHeight="1">
      <x:c r="B172" s="12" t="str">
        <x:v>GPU device</x:v>
      </x:c>
      <x:c r="C172" s="18" t="n">
        <x:v>7</x:v>
      </x:c>
      <x:c r="D172" s="13" t="n">
        <x:v>207.87200033664703</x:v>
      </x:c>
    </x:row>
    <x:row r="173" ht="30" customHeight="1">
      <x:c r="B173" s="9" t="str">
        <x:v>GPU device</x:v>
      </x:c>
      <x:c r="C173" s="15" t="n">
        <x:v>8</x:v>
      </x:c>
      <x:c r="D173" s="11" t="n">
        <x:v>208.05760324001312</x:v>
      </x:c>
    </x:row>
    <x:row r="174" ht="30" customHeight="1">
      <x:c r="B174" s="12" t="str">
        <x:v>GPU device</x:v>
      </x:c>
      <x:c r="C174" s="18" t="n">
        <x:v>9</x:v>
      </x:c>
      <x:c r="D174" s="13" t="n">
        <x:v>293.8816010951996</x:v>
      </x:c>
    </x:row>
    <x:row r="175" ht="30" customHeight="1">
      <x:c r="B175" s="9" t="str">
        <x:v>GPU device</x:v>
      </x:c>
      <x:c r="C175" s="15" t="n">
        <x:v>10</x:v>
      </x:c>
      <x:c r="D175" s="11" t="n">
        <x:v>239.6160066127777</x:v>
      </x:c>
    </x:row>
    <x:row r="176" ht="30" customHeight="1">
      <x:c r="B176" s="12" t="str">
        <x:v>GPU device</x:v>
      </x:c>
      <x:c r="C176" s="18" t="n">
        <x:v>11</x:v>
      </x:c>
      <x:c r="D176" s="13" t="n">
        <x:v>285.69599986076355</x:v>
      </x:c>
    </x:row>
    <x:row r="177" ht="30" customHeight="1">
      <x:c r="B177" s="9" t="str">
        <x:v>GPU device</x:v>
      </x:c>
      <x:c r="C177" s="15" t="n">
        <x:v>12</x:v>
      </x:c>
      <x:c r="D177" s="11" t="n">
        <x:v>301.8496036529541</x:v>
      </x:c>
    </x:row>
    <x:row r="178" ht="30" customHeight="1">
      <x:c r="B178" s="12" t="str">
        <x:v>GPU device</x:v>
      </x:c>
      <x:c r="C178" s="18" t="n">
        <x:v>13</x:v>
      </x:c>
      <x:c r="D178" s="13" t="n">
        <x:v>239.78240489959717</x:v>
      </x:c>
    </x:row>
    <x:row r="179" ht="30" customHeight="1">
      <x:c r="B179" s="9" t="str">
        <x:v>GPU device</x:v>
      </x:c>
      <x:c r="C179" s="15" t="n">
        <x:v>14</x:v>
      </x:c>
      <x:c r="D179" s="11" t="n">
        <x:v>294.4640040397644</x:v>
      </x:c>
    </x:row>
    <x:row r="180" ht="30" customHeight="1">
      <x:c r="B180" s="12" t="str">
        <x:v>GPU device</x:v>
      </x:c>
      <x:c r="C180" s="18" t="n">
        <x:v>15</x:v>
      </x:c>
      <x:c r="D180" s="13" t="n">
        <x:v>309.4528019428253</x:v>
      </x:c>
    </x:row>
    <x:row r="181" ht="30" customHeight="1">
      <x:c r="B181" s="9" t="str">
        <x:v>GPU device</x:v>
      </x:c>
      <x:c r="C181" s="15" t="n">
        <x:v>16</x:v>
      </x:c>
      <x:c r="D181" s="11" t="n">
        <x:v>271.123206615448</x:v>
      </x:c>
    </x:row>
    <x:row r="182" ht="30" customHeight="1">
      <x:c r="B182" s="12" t="str">
        <x:v>GPU device</x:v>
      </x:c>
      <x:c r="C182" s="18" t="n">
        <x:v>17</x:v>
      </x:c>
      <x:c r="D182" s="13" t="n">
        <x:v>270.33600211143494</x:v>
      </x:c>
    </x:row>
    <x:row r="183" ht="30" customHeight="1">
      <x:c r="B183" s="9" t="str">
        <x:v>GPU device</x:v>
      </x:c>
      <x:c r="C183" s="15" t="n">
        <x:v>18</x:v>
      </x:c>
      <x:c r="D183" s="11" t="n">
        <x:v>286.2912058830261</x:v>
      </x:c>
    </x:row>
    <x:row r="184" ht="30" customHeight="1">
      <x:c r="B184" s="12" t="str">
        <x:v>GPU device</x:v>
      </x:c>
      <x:c r="C184" s="18" t="n">
        <x:v>19</x:v>
      </x:c>
      <x:c r="D184" s="13" t="n">
        <x:v>207.66720175743103</x:v>
      </x:c>
    </x:row>
    <x:row r="185" ht="30" customHeight="1">
      <x:c r="B185" s="9" t="str">
        <x:v>GPU device</x:v>
      </x:c>
      <x:c r="C185" s="15" t="n">
        <x:v>20</x:v>
      </x:c>
      <x:c r="D185" s="11" t="n">
        <x:v>200.0192016363144</x:v>
      </x:c>
    </x:row>
    <x:row r="186" ht="30" customHeight="1">
      <x:c r="B186" s="12" t="str">
        <x:v>GPU device</x:v>
      </x:c>
      <x:c r="C186" s="18" t="n">
        <x:v>21</x:v>
      </x:c>
      <x:c r="D186" s="13" t="n">
        <x:v>184.3199998140335</x:v>
      </x:c>
    </x:row>
    <x:row r="187" ht="30" customHeight="1">
      <x:c r="B187" s="9" t="str">
        <x:v>GPU device</x:v>
      </x:c>
      <x:c r="C187" s="15" t="n">
        <x:v>22</x:v>
      </x:c>
      <x:c r="D187" s="11" t="n">
        <x:v>247.58399724960327</x:v>
      </x:c>
    </x:row>
    <x:row r="188" ht="30" customHeight="1">
      <x:c r="B188" s="12" t="str">
        <x:v>GPU device</x:v>
      </x:c>
      <x:c r="C188" s="18" t="n">
        <x:v>23</x:v>
      </x:c>
      <x:c r="D188" s="13" t="n">
        <x:v>247.19359874725342</x:v>
      </x:c>
    </x:row>
    <x:row r="189" ht="30" customHeight="1">
      <x:c r="B189" s="9" t="str">
        <x:v>GPU device</x:v>
      </x:c>
      <x:c r="C189" s="15" t="n">
        <x:v>24</x:v>
      </x:c>
      <x:c r="D189" s="11" t="n">
        <x:v>309.65760350227356</x:v>
      </x:c>
    </x:row>
    <x:row r="190" ht="30" customHeight="1">
      <x:c r="B190" s="12" t="str">
        <x:v>GPU device</x:v>
      </x:c>
      <x:c r="C190" s="18" t="n">
        <x:v>25</x:v>
      </x:c>
      <x:c r="D190" s="13" t="n">
        <x:v>255.14240264892578</x:v>
      </x:c>
    </x:row>
    <x:row r="191" ht="30" customHeight="1">
      <x:c r="B191" s="9" t="str">
        <x:v>GPU device</x:v>
      </x:c>
      <x:c r="C191" s="15" t="n">
        <x:v>26</x:v>
      </x:c>
      <x:c r="D191" s="11" t="n">
        <x:v>240.00640213489532</x:v>
      </x:c>
    </x:row>
    <x:row r="192" ht="30" customHeight="1">
      <x:c r="B192" s="12" t="str">
        <x:v>GPU device</x:v>
      </x:c>
      <x:c r="C192" s="18" t="n">
        <x:v>27</x:v>
      </x:c>
      <x:c r="D192" s="13" t="n">
        <x:v>233.24159979820251</x:v>
      </x:c>
    </x:row>
    <x:row r="193" ht="30" customHeight="1">
      <x:c r="B193" s="9" t="str">
        <x:v>GPU device</x:v>
      </x:c>
      <x:c r="C193" s="15" t="n">
        <x:v>28</x:v>
      </x:c>
      <x:c r="D193" s="11" t="n">
        <x:v>278.2912015914917</x:v>
      </x:c>
    </x:row>
    <x:row r="194" ht="30" customHeight="1">
      <x:c r="B194" s="12" t="str">
        <x:v>GPU device</x:v>
      </x:c>
      <x:c r="C194" s="18" t="n">
        <x:v>29</x:v>
      </x:c>
      <x:c r="D194" s="13" t="n">
        <x:v>309.6575975418091</x:v>
      </x:c>
    </x:row>
    <x:row r="195" ht="30" customHeight="1">
      <x:c r="B195" s="9" t="str">
        <x:v>GPU device</x:v>
      </x:c>
      <x:c r="C195" s="15" t="n">
        <x:v>30</x:v>
      </x:c>
      <x:c r="D195" s="11" t="n">
        <x:v>247.18720018863678</x:v>
      </x:c>
    </x:row>
    <x:row r="196" ht="30" customHeight="1">
      <x:c r="B196" s="12" t="str">
        <x:v>GPU device</x:v>
      </x:c>
      <x:c r="C196" s="18" t="n">
        <x:v>31</x:v>
      </x:c>
      <x:c r="D196" s="13" t="n">
        <x:v>239.8080050945282</x:v>
      </x:c>
    </x:row>
    <x:row r="197" ht="30" customHeight="1">
      <x:c r="B197" s="9" t="str">
        <x:v>GPU with transfers</x:v>
      </x:c>
      <x:c r="C197" s="15" t="n">
        <x:v>0</x:v>
      </x:c>
      <x:c r="D197" s="11" t="n">
        <x:v>226.7624</x:v>
      </x:c>
    </x:row>
    <x:row r="198" ht="30" customHeight="1">
      <x:c r="B198" s="12" t="str">
        <x:v>GPU with transfers</x:v>
      </x:c>
      <x:c r="C198" s="18" t="n">
        <x:v>1</x:v>
      </x:c>
      <x:c r="D198" s="13" t="n">
        <x:v>314.6568</x:v>
      </x:c>
    </x:row>
    <x:row r="199" ht="30" customHeight="1">
      <x:c r="B199" s="9" t="str">
        <x:v>GPU with transfers</x:v>
      </x:c>
      <x:c r="C199" s="15" t="n">
        <x:v>2</x:v>
      </x:c>
      <x:c r="D199" s="11" t="n">
        <x:v>293.4296</x:v>
      </x:c>
    </x:row>
    <x:row r="200" ht="30" customHeight="1">
      <x:c r="B200" s="12" t="str">
        <x:v>GPU with transfers</x:v>
      </x:c>
      <x:c r="C200" s="18" t="n">
        <x:v>3</x:v>
      </x:c>
      <x:c r="D200" s="13" t="n">
        <x:v>320.8034</x:v>
      </x:c>
    </x:row>
    <x:row r="201" ht="30" customHeight="1">
      <x:c r="B201" s="9" t="str">
        <x:v>GPU with transfers</x:v>
      </x:c>
      <x:c r="C201" s="15" t="n">
        <x:v>4</x:v>
      </x:c>
      <x:c r="D201" s="11" t="n">
        <x:v>301.242</x:v>
      </x:c>
    </x:row>
    <x:row r="202" ht="30" customHeight="1">
      <x:c r="B202" s="12" t="str">
        <x:v>GPU with transfers</x:v>
      </x:c>
      <x:c r="C202" s="18" t="n">
        <x:v>5</x:v>
      </x:c>
      <x:c r="D202" s="13" t="n">
        <x:v>318.3268</x:v>
      </x:c>
    </x:row>
    <x:row r="203" ht="30" customHeight="1">
      <x:c r="B203" s="9" t="str">
        <x:v>GPU with transfers</x:v>
      </x:c>
      <x:c r="C203" s="15" t="n">
        <x:v>6</x:v>
      </x:c>
      <x:c r="D203" s="11" t="n">
        <x:v>253.0076</x:v>
      </x:c>
    </x:row>
    <x:row r="204" ht="30" customHeight="1">
      <x:c r="B204" s="12" t="str">
        <x:v>GPU with transfers</x:v>
      </x:c>
      <x:c r="C204" s="18" t="n">
        <x:v>7</x:v>
      </x:c>
      <x:c r="D204" s="13" t="n">
        <x:v>243.4774</x:v>
      </x:c>
    </x:row>
    <x:row r="205" ht="30" customHeight="1">
      <x:c r="B205" s="9" t="str">
        <x:v>GPU with transfers</x:v>
      </x:c>
      <x:c r="C205" s="15" t="n">
        <x:v>8</x:v>
      </x:c>
      <x:c r="D205" s="11" t="n">
        <x:v>244.633</x:v>
      </x:c>
    </x:row>
    <x:row r="206" ht="30" customHeight="1">
      <x:c r="B206" s="12" t="str">
        <x:v>GPU with transfers</x:v>
      </x:c>
      <x:c r="C206" s="18" t="n">
        <x:v>9</x:v>
      </x:c>
      <x:c r="D206" s="13" t="n">
        <x:v>330.1476</x:v>
      </x:c>
    </x:row>
    <x:row r="207" ht="30" customHeight="1">
      <x:c r="B207" s="9" t="str">
        <x:v>GPU with transfers</x:v>
      </x:c>
      <x:c r="C207" s="15" t="n">
        <x:v>10</x:v>
      </x:c>
      <x:c r="D207" s="11" t="n">
        <x:v>276.6758</x:v>
      </x:c>
    </x:row>
    <x:row r="208" ht="30" customHeight="1">
      <x:c r="B208" s="12" t="str">
        <x:v>GPU with transfers</x:v>
      </x:c>
      <x:c r="C208" s="18" t="n">
        <x:v>11</x:v>
      </x:c>
      <x:c r="D208" s="13" t="n">
        <x:v>321.737</x:v>
      </x:c>
    </x:row>
    <x:row r="209" ht="30" customHeight="1">
      <x:c r="B209" s="9" t="str">
        <x:v>GPU with transfers</x:v>
      </x:c>
      <x:c r="C209" s="15" t="n">
        <x:v>12</x:v>
      </x:c>
      <x:c r="D209" s="11" t="n">
        <x:v>338.6862</x:v>
      </x:c>
    </x:row>
    <x:row r="210" ht="30" customHeight="1">
      <x:c r="B210" s="12" t="str">
        <x:v>GPU with transfers</x:v>
      </x:c>
      <x:c r="C210" s="18" t="n">
        <x:v>13</x:v>
      </x:c>
      <x:c r="D210" s="13" t="n">
        <x:v>276.39300000000003</x:v>
      </x:c>
    </x:row>
    <x:row r="211" ht="30" customHeight="1">
      <x:c r="B211" s="9" t="str">
        <x:v>GPU with transfers</x:v>
      </x:c>
      <x:c r="C211" s="15" t="n">
        <x:v>14</x:v>
      </x:c>
      <x:c r="D211" s="11" t="n">
        <x:v>332.065</x:v>
      </x:c>
    </x:row>
    <x:row r="212" ht="30" customHeight="1">
      <x:c r="B212" s="12" t="str">
        <x:v>GPU with transfers</x:v>
      </x:c>
      <x:c r="C212" s="18" t="n">
        <x:v>15</x:v>
      </x:c>
      <x:c r="D212" s="13" t="n">
        <x:v>342.8004</x:v>
      </x:c>
    </x:row>
    <x:row r="213" ht="30" customHeight="1">
      <x:c r="B213" s="9" t="str">
        <x:v>GPU with transfers</x:v>
      </x:c>
      <x:c r="C213" s="15" t="n">
        <x:v>16</x:v>
      </x:c>
      <x:c r="D213" s="11" t="n">
        <x:v>312.3472</x:v>
      </x:c>
    </x:row>
    <x:row r="214" ht="30" customHeight="1">
      <x:c r="B214" s="12" t="str">
        <x:v>GPU with transfers</x:v>
      </x:c>
      <x:c r="C214" s="18" t="n">
        <x:v>17</x:v>
      </x:c>
      <x:c r="D214" s="13" t="n">
        <x:v>309.1638</x:v>
      </x:c>
    </x:row>
    <x:row r="215" ht="30" customHeight="1">
      <x:c r="B215" s="9" t="str">
        <x:v>GPU with transfers</x:v>
      </x:c>
      <x:c r="C215" s="15" t="n">
        <x:v>18</x:v>
      </x:c>
      <x:c r="D215" s="11" t="n">
        <x:v>325.0968</x:v>
      </x:c>
    </x:row>
    <x:row r="216" ht="30" customHeight="1">
      <x:c r="B216" s="12" t="str">
        <x:v>GPU with transfers</x:v>
      </x:c>
      <x:c r="C216" s="18" t="n">
        <x:v>19</x:v>
      </x:c>
      <x:c r="D216" s="13" t="n">
        <x:v>244.4532</x:v>
      </x:c>
    </x:row>
    <x:row r="217" ht="30" customHeight="1">
      <x:c r="B217" s="9" t="str">
        <x:v>GPU with transfers</x:v>
      </x:c>
      <x:c r="C217" s="15" t="n">
        <x:v>20</x:v>
      </x:c>
      <x:c r="D217" s="11" t="n">
        <x:v>236.3062</x:v>
      </x:c>
    </x:row>
    <x:row r="218" ht="30" customHeight="1">
      <x:c r="B218" s="12" t="str">
        <x:v>GPU with transfers</x:v>
      </x:c>
      <x:c r="C218" s="18" t="n">
        <x:v>21</x:v>
      </x:c>
      <x:c r="D218" s="13" t="n">
        <x:v>218.7726</x:v>
      </x:c>
    </x:row>
    <x:row r="219" ht="30" customHeight="1">
      <x:c r="B219" s="9" t="str">
        <x:v>GPU with transfers</x:v>
      </x:c>
      <x:c r="C219" s="15" t="n">
        <x:v>22</x:v>
      </x:c>
      <x:c r="D219" s="11" t="n">
        <x:v>284.6808</x:v>
      </x:c>
    </x:row>
    <x:row r="220" ht="30" customHeight="1">
      <x:c r="B220" s="12" t="str">
        <x:v>GPU with transfers</x:v>
      </x:c>
      <x:c r="C220" s="18" t="n">
        <x:v>23</x:v>
      </x:c>
      <x:c r="D220" s="13" t="n">
        <x:v>284.23380000000003</x:v>
      </x:c>
    </x:row>
    <x:row r="221" ht="30" customHeight="1">
      <x:c r="B221" s="9" t="str">
        <x:v>GPU with transfers</x:v>
      </x:c>
      <x:c r="C221" s="15" t="n">
        <x:v>24</x:v>
      </x:c>
      <x:c r="D221" s="11" t="n">
        <x:v>344.5148</x:v>
      </x:c>
    </x:row>
    <x:row r="222" ht="30" customHeight="1">
      <x:c r="B222" s="12" t="str">
        <x:v>GPU with transfers</x:v>
      </x:c>
      <x:c r="C222" s="18" t="n">
        <x:v>25</x:v>
      </x:c>
      <x:c r="D222" s="13" t="n">
        <x:v>293.2008</x:v>
      </x:c>
    </x:row>
    <x:row r="223" ht="30" customHeight="1">
      <x:c r="B223" s="9" t="str">
        <x:v>GPU with transfers</x:v>
      </x:c>
      <x:c r="C223" s="15" t="n">
        <x:v>26</x:v>
      </x:c>
      <x:c r="D223" s="11" t="n">
        <x:v>276.386</x:v>
      </x:c>
    </x:row>
    <x:row r="224" ht="30" customHeight="1">
      <x:c r="B224" s="12" t="str">
        <x:v>GPU with transfers</x:v>
      </x:c>
      <x:c r="C224" s="18" t="n">
        <x:v>27</x:v>
      </x:c>
      <x:c r="D224" s="13" t="n">
        <x:v>266.979</x:v>
      </x:c>
    </x:row>
    <x:row r="225" ht="30" customHeight="1">
      <x:c r="B225" s="9" t="str">
        <x:v>GPU with transfers</x:v>
      </x:c>
      <x:c r="C225" s="15" t="n">
        <x:v>28</x:v>
      </x:c>
      <x:c r="D225" s="11" t="n">
        <x:v>316.586</x:v>
      </x:c>
    </x:row>
    <x:row r="226" ht="30" customHeight="1">
      <x:c r="B226" s="12" t="str">
        <x:v>GPU with transfers</x:v>
      </x:c>
      <x:c r="C226" s="18" t="n">
        <x:v>29</x:v>
      </x:c>
      <x:c r="D226" s="13" t="n">
        <x:v>344.1062</x:v>
      </x:c>
    </x:row>
    <x:row r="227" ht="30" customHeight="1">
      <x:c r="B227" s="9" t="str">
        <x:v>GPU with transfers</x:v>
      </x:c>
      <x:c r="C227" s="15" t="n">
        <x:v>30</x:v>
      </x:c>
      <x:c r="D227" s="11" t="n">
        <x:v>285.992</x:v>
      </x:c>
    </x:row>
    <x:row r="228" ht="30" customHeight="1">
      <x:c r="B228" s="12" t="str">
        <x:v>GPU with transfers</x:v>
      </x:c>
      <x:c r="C228" s="18" t="n">
        <x:v>31</x:v>
      </x:c>
      <x:c r="D228" s="13" t="n">
        <x:v>388.6818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7.77999877929688" hidden="0" customWidth="1"/>
    <x:col min="3" max="3" width="23.329999923706055" hidden="0" customWidth="1"/>
    <x:col min="4" max="4" width="35.560001373291016" hidden="0" customWidth="1"/>
  </x:cols>
  <x:sheetData>
    <x:row r="2">
      <x:c r="B2" s="20" t="str">
        <x:v>VCU118 capacities and metric definitions</x:v>
      </x:c>
    </x:row>
    <x:row r="4" ht="48" customHeight="1">
      <x:c r="B4" s="7" t="str">
        <x:v>resource</x:v>
      </x:c>
      <x:c r="C4" s="7" t="str">
        <x:v>capacity</x:v>
      </x:c>
    </x:row>
    <x:row r="5" ht="30" customHeight="1">
      <x:c r="B5" s="9" t="str">
        <x:v>lut</x:v>
      </x:c>
      <x:c r="C5" s="15" t="n">
        <x:v>1182240</x:v>
      </x:c>
    </x:row>
    <x:row r="6" ht="30" customHeight="1">
      <x:c r="B6" s="12" t="str">
        <x:v>ff</x:v>
      </x:c>
      <x:c r="C6" s="18" t="n">
        <x:v>2364480</x:v>
      </x:c>
    </x:row>
    <x:row r="7" ht="30" customHeight="1">
      <x:c r="B7" s="9" t="str">
        <x:v>bram18_equiv</x:v>
      </x:c>
      <x:c r="C7" s="15" t="n">
        <x:v>4320</x:v>
      </x:c>
    </x:row>
    <x:row r="8" ht="30" customHeight="1">
      <x:c r="B8" s="12" t="str">
        <x:v>bram36_equiv</x:v>
      </x:c>
      <x:c r="C8" s="18" t="n">
        <x:v>2160</x:v>
      </x:c>
    </x:row>
    <x:row r="9" ht="30" customHeight="1">
      <x:c r="B9" s="9" t="str">
        <x:v>dsp</x:v>
      </x:c>
      <x:c r="C9" s="15" t="n">
        <x:v>6840</x:v>
      </x:c>
    </x:row>
    <x:row r="10" ht="30" customHeight="1">
      <x:c r="B10" s="12" t="str">
        <x:v>uram</x:v>
      </x:c>
      <x:c r="C10" s="18" t="n">
        <x:v>960</x:v>
      </x:c>
    </x:row>
    <x:row r="13">
      <x:c r="B13" s="21" t="str">
        <x:v>Percentages use a 0–100 numeric scale, with no percent sign.</x:v>
      </x:c>
    </x:row>
    <x:row r="15" ht="52" customHeight="1">
      <x:c r="B15" s="22" t="str">
        <x:v>Percentages are numeric values on a 0 to 100 scale, with no percent sign; used resource / VCU118 capacity * 100.</x:v>
      </x:c>
    </x:row>
    <x:row r="16" ht="52" customHeight="1">
      <x:c r="B16" s="22" t="str">
        <x:v>BRAM18-equivalent = 2 * RAMB36 primitives + RAMB18 primitives; VCU118 capacity is4320 BRAM18-equivalent or2160 BRAM36-equivalent. BRAM36-equivalent is not the physical count of RAMB36 primitives.</x:v>
      </x:c>
    </x:row>
    <x:row r="17" ht="52" customHeight="1">
      <x:c r="B17" s="22" t="str">
        <x:v>FPGA power and energy are post-route vectorless on-chip estimates, not board measurements.</x:v>
      </x:c>
    </x:row>
    <x:row r="18" ht="52" customHeight="1">
      <x:c r="B18" s="22" t="str">
        <x:v>CPU energy is measured over matching active windows from both CPU-package counters on shared Supernova; background activity is included. Paired-background-adjusted energy is separate and is not isolated process energy.</x:v>
      </x:c>
    </x:row>
    <x:row r="19" ht="52" customHeight="1">
      <x:c r="B19" s="22" t="str">
        <x:v>CPU/GPU hardware cycles and benchmark memory/resource usage were not measured; blank means unavailable, never zero.</x:v>
      </x:c>
    </x:row>
    <x:row r="20" ht="52" customHeight="1">
      <x:c r="B20" s="22" t="str">
        <x:v>Software throughput from reciprocal mean latency differs from independently measured sustained throughput. Energy-window throughput and FPGA31-interval service throughput are separately labeled.</x:v>
      </x:c>
    </x:row>
    <x:row r="21" ht="52" customHeight="1">
      <x:c r="B21" s="22" t="str">
        <x:v>The validated workload contains32 inputs; native/scalar/RTL output equivalence does not by itself establish general decoding success rates.</x:v>
      </x:c>
    </x:row>
    <x:row r="22" ht="52" customHeight="1">
      <x:c r="B22" s="22" t="str">
        <x:v>GPU total-device counters exclude host CPU/RAM and whole-server energy; CPU package counters exclude DRAM and whole-server power; FPGA figures exclude board I/O and board power. CPU/GPU measured energy versus FPGA estimated energy is not a matched measured whole-platform comparison.</x:v>
      </x:c>
    </x:row>
    <x:row r="23" ht="52" customHeight="1">
      <x:c r="B23" s="22" t="str">
        <x:v>CPU correctness: 11 full 32-input validation passes, 1,760 output-field comparisons, zero mismatches. Five matched active windows contain 66,720 decodings; raw samples remain remote.</x:v>
      </x:c>
    </x:row>
    <x:row r="24" ht="52" customHeight="1">
      <x:c r="B24" s="22" t="str">
        <x:v>CPU paired-background adjustment is a point estimate whose conservative sampling bounds include zero. It must not support an isolated decoding-energy ranking.</x:v>
      </x:c>
    </x:row>
    <x:row r="25" ht="52" customHeight="1">
      <x:c r="B25" s="22" t="str">
        <x:v>CPU counter-wrap admissibility assumes at most 2,000 W per package. No wraps observed; all window endpoints bracketed. Sampling bounds are not confidence intervals or counter-accuracy bounds.</x:v>
      </x:c>
    </x:row>
    <x:row r="26" ht="52" customHeight="1">
      <x:c r="B26" s="22" t="str">
        <x:v>The Excel matrix contains only C1/C2/C4 x V2/V4/V8. All nine latest-design points passed full-group CNU II=1, VNU II=1, 32-input RTL verification and routed 100 MHz timing.</x:v>
      </x:c>
    </x:row>
    <x:row r="27" ht="52" customHeight="1">
      <x:c r="B27" s="22"/>
    </x:row>
    <x:row r="30" ht="48" customHeight="1">
      <x:c r="B30" s="7" t="str">
        <x:v>source id</x:v>
      </x:c>
      <x:c r="C30" s="7" t="str">
        <x:v>file name</x:v>
      </x:c>
      <x:c r="D30" s="7" t="str">
        <x:v>sha256</x:v>
      </x:c>
    </x:row>
    <x:row r="31" ht="50" customHeight="1">
      <x:c r="B31" s="9" t="str">
        <x:v>FPGA_SAVED_REPORTS_20261019</x:v>
      </x:c>
      <x:c r="C31" s="9" t="str">
        <x:v>saved-fpga-metrics-stdout.json</x:v>
      </x:c>
      <x:c r="D31" s="9" t="str">
        <x:v>f57baf17c77384a692bc341c65a3d82459c36f29ec96b97b8aaf6da369adf22d</x:v>
      </x:c>
    </x:row>
    <x:row r="32" ht="50" customHeight="1">
      <x:c r="B32" s="12" t="str">
        <x:v>LATEST_CV_SNAPSHOT</x:v>
      </x:c>
      <x:c r="C32" s="12" t="str">
        <x:v>current-owner-checkpoint.json</x:v>
      </x:c>
      <x:c r="D32" s="12" t="str">
        <x:v>2266547425c28cb915aeb1200393db1051dfd7f258db43aec54353d6b0df21b1</x:v>
      </x:c>
    </x:row>
    <x:row r="33" ht="50" customHeight="1">
      <x:c r="B33" s="9" t="str">
        <x:v>MATCHED_SOFTWARE_TIMING_20261018</x:v>
      </x:c>
      <x:c r="C33" s="9" t="str">
        <x:v>matched-latency-results.json</x:v>
      </x:c>
      <x:c r="D33" s="9" t="str">
        <x:v>1850135e8dcd26e4d57d4b91775878f4d4a74c852186216977f15fe993b05f4d</x:v>
      </x:c>
    </x:row>
    <x:row r="34" ht="50" customHeight="1">
      <x:c r="B34" s="12" t="str">
        <x:v>GPU_ENERGY_20261019</x:v>
      </x:c>
      <x:c r="C34" s="12" t="str">
        <x:v>gpu-energy-audit-stdout.json</x:v>
      </x:c>
      <x:c r="D34" s="12" t="str">
        <x:v>1b2e8a99ab8b382c3df77ca8f84ef41c4000ccbdba2cbe1819580b75717acf3c</x:v>
      </x:c>
    </x:row>
    <x:row r="35" ht="50" customHeight="1">
      <x:c r="B35" s="9" t="str">
        <x:v>CPU_ENERGY_20261019</x:v>
      </x:c>
      <x:c r="C35" s="9" t="str">
        <x:v>cpu-energy-integration-stdout.json</x:v>
      </x:c>
      <x:c r="D35" s="9" t="str">
        <x:v>d863cdd86b53496b580dd4314079e7b6b99a1aa104aed1a6c6c1b3252391591f</x:v>
      </x:c>
    </x:row>
    <x:row r="36" ht="50" customHeight="1">
      <x:c r="B36" s="12" t="str">
        <x:v>C4V2_SAVED_RTL_GATE_20261020</x:v>
      </x:c>
      <x:c r="C36" s="12" t="str">
        <x:v>new-completed-RTL-gate-stdout.json</x:v>
      </x:c>
      <x:c r="D36" s="12" t="str">
        <x:v>5b4f03976da5d4dffda03452d78910bdfae512aae66b66747433545e15379719</x:v>
      </x:c>
    </x:row>
    <x:row r="37" ht="50" customHeight="1">
      <x:c r="B37" s="9" t="str">
        <x:v>C1V2_FULL_ROUTE_AUDIT</x:v>
      </x:c>
      <x:c r="C37" s="9" t="str">
        <x:v>completed-route-audit-stdout.json</x:v>
      </x:c>
      <x:c r="D37" s="9" t="str">
        <x:v>93703009bccdfa01d26c70258aae34660ff274497605ecee0aa1b5aac092938a</x:v>
      </x:c>
    </x:row>
    <x:row r="38" ht="50" customHeight="1">
      <x:c r="B38" s="12" t="str">
        <x:v>C1V4_FULL_ROUTE_AUDIT</x:v>
      </x:c>
      <x:c r="C38" s="12" t="str">
        <x:v>completed-route-audit-stdout.json</x:v>
      </x:c>
      <x:c r="D38" s="12" t="str">
        <x:v>83ac7d86343004b8c872a3d042a17aad7685ac9d5e97e9f7cd08db80f85641af</x:v>
      </x:c>
    </x:row>
    <x:row r="39" ht="50" customHeight="1">
      <x:c r="B39" s="9" t="str">
        <x:v>C1V8_FULL_ROUTE_AUDIT</x:v>
      </x:c>
      <x:c r="C39" s="9" t="str">
        <x:v>completed-route-audit-stdout.json</x:v>
      </x:c>
      <x:c r="D39" s="9" t="str">
        <x:v>52d03038507a034b3e9b3b218501625e38a50ddaeb08abff59f910989d47fc42</x:v>
      </x:c>
    </x:row>
    <x:row r="40" ht="50" customHeight="1">
      <x:c r="B40" s="12" t="str">
        <x:v>C2V2_FULL_ROUTE_AUDIT</x:v>
      </x:c>
      <x:c r="C40" s="12" t="str">
        <x:v>completed-route-audit-stdout.json</x:v>
      </x:c>
      <x:c r="D40" s="12" t="str">
        <x:v>51f0b22a28c063dd0049d222e403828231cc61fa8354ab29a1bbdd27d0bd26c9</x:v>
      </x:c>
    </x:row>
    <x:row r="41" ht="50" customHeight="1">
      <x:c r="B41" s="9" t="str">
        <x:v>C2V4_FULL_ROUTE_AUDIT</x:v>
      </x:c>
      <x:c r="C41" s="9" t="str">
        <x:v>completed-route-audit-stdout.json</x:v>
      </x:c>
      <x:c r="D41" s="9" t="str">
        <x:v>2dea4715c10f7ee023905d02df187449a6301a96381603bab019da4599c8bf5e</x:v>
      </x:c>
    </x:row>
    <x:row r="42" ht="50" customHeight="1">
      <x:c r="B42" s="12" t="str">
        <x:v>C4V2_FULL_ROUTE_AUDIT</x:v>
      </x:c>
      <x:c r="C42" s="12" t="str">
        <x:v>completed-route-audit-stdout.json</x:v>
      </x:c>
      <x:c r="D42" s="12" t="str">
        <x:v>5246c350d9ed3cdc156345f9448f50ee7bb9d45e56fc24c94487db2a55bed40a</x:v>
      </x:c>
    </x:row>
    <x:row r="43" ht="50" customHeight="1">
      <x:c r="B43" s="9" t="str">
        <x:v>C4V4_FULL_ROUTE_AUDIT</x:v>
      </x:c>
      <x:c r="C43" s="9" t="str">
        <x:v>completed-route-audit-stdout.json</x:v>
      </x:c>
      <x:c r="D43" s="9" t="str">
        <x:v>d6e95a9ca04896c13b4da5cae0743eb6bcd6062bc53ec521b23006774d2d6739</x:v>
      </x:c>
    </x:row>
    <x:row r="44" ht="50" customHeight="1">
      <x:c r="B44" s="12" t="str">
        <x:v>NEW_SAVED_POWER</x:v>
      </x:c>
      <x:c r="C44" s="12" t="str">
        <x:v>three-new-saved-power-stdout.json</x:v>
      </x:c>
      <x:c r="D44" s="12" t="str">
        <x:v>86662512edc6c35df78ade324fa8be8a55de07249552cfb8b99eea355dce73aa</x:v>
      </x:c>
    </x:row>
    <x:row r="47">
      <x:c r="B47" t="str">
        <x:v>AMD UG1224: https://docs.amd.com/v/u/en-US/ug1224-vcu118-eval-bd</x:v>
      </x:c>
    </x:row>
    <x:row r="48">
      <x:c r="B48" t="str">
        <x:v>AMD DS890 Table15: https://docs.amd.com/api/khub/documents/dGU6Y~1b8XPqDFk5ulti6g/content</x:v>
      </x:c>
    </x:row>
    <x:row r="49">
      <x:c r="B49" t="str">
        <x:v>Input SHA256: 12575d3aa73a6e6bd3e05198166fa6545dc02934238e5c49f9cff9127c8dacc0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6700000762939453" hidden="0" customWidth="1"/>
    <x:col min="2" max="2" width="23.329999923706055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35.560001373291016" hidden="0" customWidth="1"/>
  </x:cols>
  <x:sheetData>
    <x:row r="2" ht="30" customHeight="1">
      <x:c r="B2" s="1" t="str">
        <x:v>VCU118 resource utilization: numeric percentages</x:v>
      </x:c>
    </x:row>
    <x:row r="4" ht="48" customHeight="1">
      <x:c r="B4" s="7" t="str">
        <x:v>point</x:v>
      </x:c>
      <x:c r="C4" s="7" t="str">
        <x:v>banks</x:v>
      </x:c>
      <x:c r="D4" s="7" t="str">
        <x:v>LUT used</x:v>
      </x:c>
      <x:c r="E4" s="7" t="str">
        <x:v>LUT (%)</x:v>
      </x:c>
      <x:c r="F4" s="7" t="str">
        <x:v>FF used</x:v>
      </x:c>
      <x:c r="G4" s="7" t="str">
        <x:v>FF (%)</x:v>
      </x:c>
      <x:c r="H4" s="7" t="str">
        <x:v>BRAM18 equiv. used</x:v>
      </x:c>
      <x:c r="I4" s="7" t="str">
        <x:v>BRAM (%)</x:v>
      </x:c>
      <x:c r="J4" s="7" t="str">
        <x:v>DSP used</x:v>
      </x:c>
      <x:c r="K4" s="7" t="str">
        <x:v>DSP (%)</x:v>
      </x:c>
      <x:c r="L4" s="7" t="str">
        <x:v>status</x:v>
      </x:c>
    </x:row>
    <x:row r="5" ht="50" customHeight="1">
      <x:c r="B5" s="9" t="str">
        <x:v>C1V2</x:v>
      </x:c>
      <x:c r="C5" s="15" t="n">
        <x:v>64</x:v>
      </x:c>
      <x:c r="D5" s="15" t="n">
        <x:f>IF('CV Matrix'!J5="","",'CV Matrix'!J5)</x:f>
        <x:v>54933</x:v>
      </x:c>
      <x:c r="E5" s="17" t="n">
        <x:f>IF('CV Matrix'!K5="","",'CV Matrix'!K5)</x:f>
        <x:v>4.646518473406415</x:v>
      </x:c>
      <x:c r="F5" s="15" t="n">
        <x:f>IF('CV Matrix'!L5="","",'CV Matrix'!L5)</x:f>
        <x:v>42128</x:v>
      </x:c>
      <x:c r="G5" s="17" t="n">
        <x:f>IF('CV Matrix'!M5="","",'CV Matrix'!M5)</x:f>
        <x:v>1.7817025307890106</x:v>
      </x:c>
      <x:c r="H5" s="15" t="n">
        <x:f>IF('CV Matrix'!N5="","",'CV Matrix'!N5)</x:f>
        <x:v>1445</x:v>
      </x:c>
      <x:c r="I5" s="17" t="n">
        <x:f>IF('CV Matrix'!O5="","",'CV Matrix'!O5)</x:f>
        <x:v>33.449074074074076</x:v>
      </x:c>
      <x:c r="J5" s="15" t="n">
        <x:f>IF('CV Matrix'!P5="","",'CV Matrix'!P5)</x:f>
        <x:v>1</x:v>
      </x:c>
      <x:c r="K5" s="17" t="n">
        <x:f>IF('CV Matrix'!Q5="","",'CV Matrix'!Q5)</x:f>
        <x:v>0.014619883040935673</x:v>
      </x:c>
      <x:c r="L5" s="9" t="str">
        <x:v>validated_RTL_and_route</x:v>
      </x:c>
    </x:row>
    <x:row r="6" ht="50" customHeight="1">
      <x:c r="B6" s="12" t="str">
        <x:v>C1V4</x:v>
      </x:c>
      <x:c r="C6" s="18" t="n">
        <x:v>64</x:v>
      </x:c>
      <x:c r="D6" s="18" t="n">
        <x:f>IF('CV Matrix'!J6="","",'CV Matrix'!J6)</x:f>
        <x:v>95866</x:v>
      </x:c>
      <x:c r="E6" s="19" t="n">
        <x:f>IF('CV Matrix'!K6="","",'CV Matrix'!K6)</x:f>
        <x:v>8.108844227906348</x:v>
      </x:c>
      <x:c r="F6" s="18" t="n">
        <x:f>IF('CV Matrix'!L6="","",'CV Matrix'!L6)</x:f>
        <x:v>47732</x:v>
      </x:c>
      <x:c r="G6" s="19" t="n">
        <x:f>IF('CV Matrix'!M6="","",'CV Matrix'!M6)</x:f>
        <x:v>2.018710244958722</x:v>
      </x:c>
      <x:c r="H6" s="18" t="n">
        <x:f>IF('CV Matrix'!N6="","",'CV Matrix'!N6)</x:f>
        <x:v>601</x:v>
      </x:c>
      <x:c r="I6" s="19" t="n">
        <x:f>IF('CV Matrix'!O6="","",'CV Matrix'!O6)</x:f>
        <x:v>13.912037037037036</x:v>
      </x:c>
      <x:c r="J6" s="18" t="n">
        <x:f>IF('CV Matrix'!P6="","",'CV Matrix'!P6)</x:f>
        <x:v>1</x:v>
      </x:c>
      <x:c r="K6" s="19" t="n">
        <x:f>IF('CV Matrix'!Q6="","",'CV Matrix'!Q6)</x:f>
        <x:v>0.014619883040935673</x:v>
      </x:c>
      <x:c r="L6" s="12" t="str">
        <x:v>validated_RTL_and_route</x:v>
      </x:c>
    </x:row>
    <x:row r="7" ht="50" customHeight="1">
      <x:c r="B7" s="9" t="str">
        <x:v>C1V8</x:v>
      </x:c>
      <x:c r="C7" s="15" t="n">
        <x:v>64</x:v>
      </x:c>
      <x:c r="D7" s="15" t="n">
        <x:f>IF('CV Matrix'!J7="","",'CV Matrix'!J7)</x:f>
        <x:v>97810</x:v>
      </x:c>
      <x:c r="E7" s="17" t="n">
        <x:f>IF('CV Matrix'!K7="","",'CV Matrix'!K7)</x:f>
        <x:v>8.273277845445934</x:v>
      </x:c>
      <x:c r="F7" s="15" t="n">
        <x:f>IF('CV Matrix'!L7="","",'CV Matrix'!L7)</x:f>
        <x:v>48216</x:v>
      </x:c>
      <x:c r="G7" s="17" t="n">
        <x:f>IF('CV Matrix'!M7="","",'CV Matrix'!M7)</x:f>
        <x:v>2.039179861956963</x:v>
      </x:c>
      <x:c r="H7" s="15" t="n">
        <x:f>IF('CV Matrix'!N7="","",'CV Matrix'!N7)</x:f>
        <x:v>609</x:v>
      </x:c>
      <x:c r="I7" s="17" t="n">
        <x:f>IF('CV Matrix'!O7="","",'CV Matrix'!O7)</x:f>
        <x:v>14.097222222222221</x:v>
      </x:c>
      <x:c r="J7" s="15" t="n">
        <x:f>IF('CV Matrix'!P7="","",'CV Matrix'!P7)</x:f>
        <x:v>1</x:v>
      </x:c>
      <x:c r="K7" s="17" t="n">
        <x:f>IF('CV Matrix'!Q7="","",'CV Matrix'!Q7)</x:f>
        <x:v>0.014619883040935673</x:v>
      </x:c>
      <x:c r="L7" s="9" t="str">
        <x:v>validated_RTL_and_route</x:v>
      </x:c>
    </x:row>
    <x:row r="8" ht="50" customHeight="1">
      <x:c r="B8" s="12" t="str">
        <x:v>C2V2</x:v>
      </x:c>
      <x:c r="C8" s="18" t="n">
        <x:v>64</x:v>
      </x:c>
      <x:c r="D8" s="18" t="n">
        <x:f>IF('CV Matrix'!J8="","",'CV Matrix'!J8)</x:f>
        <x:v>64298</x:v>
      </x:c>
      <x:c r="E8" s="19" t="n">
        <x:f>IF('CV Matrix'!K8="","",'CV Matrix'!K8)</x:f>
        <x:v>5.438658817160644</x:v>
      </x:c>
      <x:c r="F8" s="18" t="n">
        <x:f>IF('CV Matrix'!L8="","",'CV Matrix'!L8)</x:f>
        <x:v>44253</x:v>
      </x:c>
      <x:c r="G8" s="19" t="n">
        <x:f>IF('CV Matrix'!M8="","",'CV Matrix'!M8)</x:f>
        <x:v>1.8715742996345919</x:v>
      </x:c>
      <x:c r="H8" s="18" t="n">
        <x:f>IF('CV Matrix'!N8="","",'CV Matrix'!N8)</x:f>
        <x:v>1472</x:v>
      </x:c>
      <x:c r="I8" s="19" t="n">
        <x:f>IF('CV Matrix'!O8="","",'CV Matrix'!O8)</x:f>
        <x:v>34.074074074074076</x:v>
      </x:c>
      <x:c r="J8" s="18" t="n">
        <x:f>IF('CV Matrix'!P8="","",'CV Matrix'!P8)</x:f>
        <x:v>1</x:v>
      </x:c>
      <x:c r="K8" s="19" t="n">
        <x:f>IF('CV Matrix'!Q8="","",'CV Matrix'!Q8)</x:f>
        <x:v>0.014619883040935673</x:v>
      </x:c>
      <x:c r="L8" s="12" t="str">
        <x:v>validated_RTL_and_route</x:v>
      </x:c>
    </x:row>
    <x:row r="9" ht="50" customHeight="1">
      <x:c r="B9" s="9" t="str">
        <x:v>C2V4</x:v>
      </x:c>
      <x:c r="C9" s="15" t="n">
        <x:v>64</x:v>
      </x:c>
      <x:c r="D9" s="15" t="n">
        <x:f>IF('CV Matrix'!J9="","",'CV Matrix'!J9)</x:f>
        <x:v>104534</x:v>
      </x:c>
      <x:c r="E9" s="17" t="n">
        <x:f>IF('CV Matrix'!K9="","",'CV Matrix'!K9)</x:f>
        <x:v>8.842028691297875</x:v>
      </x:c>
      <x:c r="F9" s="15" t="n">
        <x:f>IF('CV Matrix'!L9="","",'CV Matrix'!L9)</x:f>
        <x:v>49869</x:v>
      </x:c>
      <x:c r="G9" s="17" t="n">
        <x:f>IF('CV Matrix'!M9="","",'CV Matrix'!M9)</x:f>
        <x:v>2.109089524969549</x:v>
      </x:c>
      <x:c r="H9" s="15" t="n">
        <x:f>IF('CV Matrix'!N9="","",'CV Matrix'!N9)</x:f>
        <x:v>629</x:v>
      </x:c>
      <x:c r="I9" s="17" t="n">
        <x:f>IF('CV Matrix'!O9="","",'CV Matrix'!O9)</x:f>
        <x:v>14.560185185185185</x:v>
      </x:c>
      <x:c r="J9" s="15" t="n">
        <x:f>IF('CV Matrix'!P9="","",'CV Matrix'!P9)</x:f>
        <x:v>1</x:v>
      </x:c>
      <x:c r="K9" s="17" t="n">
        <x:f>IF('CV Matrix'!Q9="","",'CV Matrix'!Q9)</x:f>
        <x:v>0.014619883040935673</x:v>
      </x:c>
      <x:c r="L9" s="9" t="str">
        <x:v>validated_RTL_and_route</x:v>
      </x:c>
    </x:row>
    <x:row r="10" ht="50" customHeight="1">
      <x:c r="B10" s="12" t="str">
        <x:v>C2V8</x:v>
      </x:c>
      <x:c r="C10" s="18" t="n">
        <x:v>64</x:v>
      </x:c>
      <x:c r="D10" s="18" t="n">
        <x:f>IF('CV Matrix'!J10="","",'CV Matrix'!J10)</x:f>
        <x:v>105901</x:v>
      </x:c>
      <x:c r="E10" s="19" t="n">
        <x:f>IF('CV Matrix'!K10="","",'CV Matrix'!K10)</x:f>
        <x:v>8.957656651779672</x:v>
      </x:c>
      <x:c r="F10" s="18" t="n">
        <x:f>IF('CV Matrix'!L10="","",'CV Matrix'!L10)</x:f>
        <x:v>50584</x:v>
      </x:c>
      <x:c r="G10" s="19" t="n">
        <x:f>IF('CV Matrix'!M10="","",'CV Matrix'!M10)</x:f>
        <x:v>2.1393287318987686</x:v>
      </x:c>
      <x:c r="H10" s="18" t="n">
        <x:f>IF('CV Matrix'!N10="","",'CV Matrix'!N10)</x:f>
        <x:v>637</x:v>
      </x:c>
      <x:c r="I10" s="19" t="n">
        <x:f>IF('CV Matrix'!O10="","",'CV Matrix'!O10)</x:f>
        <x:v>14.74537037037037</x:v>
      </x:c>
      <x:c r="J10" s="18" t="n">
        <x:f>IF('CV Matrix'!P10="","",'CV Matrix'!P10)</x:f>
        <x:v>1</x:v>
      </x:c>
      <x:c r="K10" s="19" t="n">
        <x:f>IF('CV Matrix'!Q10="","",'CV Matrix'!Q10)</x:f>
        <x:v>0.014619883040935673</x:v>
      </x:c>
      <x:c r="L10" s="12" t="str">
        <x:v>validated_RTL_and_route</x:v>
      </x:c>
    </x:row>
    <x:row r="11" ht="50" customHeight="1">
      <x:c r="B11" s="9" t="str">
        <x:v>C4V2</x:v>
      </x:c>
      <x:c r="C11" s="15" t="n">
        <x:v>128</x:v>
      </x:c>
      <x:c r="D11" s="15" t="n">
        <x:f>IF('CV Matrix'!J11="","",'CV Matrix'!J11)</x:f>
        <x:v>108970</x:v>
      </x:c>
      <x:c r="E11" s="17" t="n">
        <x:f>IF('CV Matrix'!K11="","",'CV Matrix'!K11)</x:f>
        <x:v>9.217248612802816</x:v>
      </x:c>
      <x:c r="F11" s="15" t="n">
        <x:f>IF('CV Matrix'!L11="","",'CV Matrix'!L11)</x:f>
        <x:v>47711</x:v>
      </x:c>
      <x:c r="G11" s="17" t="n">
        <x:f>IF('CV Matrix'!M11="","",'CV Matrix'!M11)</x:f>
        <x:v>2.0178221004195427</x:v>
      </x:c>
      <x:c r="H11" s="15" t="n">
        <x:f>IF('CV Matrix'!N11="","",'CV Matrix'!N11)</x:f>
        <x:v>2443</x:v>
      </x:c>
      <x:c r="I11" s="17" t="n">
        <x:f>IF('CV Matrix'!O11="","",'CV Matrix'!O11)</x:f>
        <x:v>56.550925925925924</x:v>
      </x:c>
      <x:c r="J11" s="15" t="n">
        <x:f>IF('CV Matrix'!P11="","",'CV Matrix'!P11)</x:f>
        <x:v>1</x:v>
      </x:c>
      <x:c r="K11" s="17" t="n">
        <x:f>IF('CV Matrix'!Q11="","",'CV Matrix'!Q11)</x:f>
        <x:v>0.014619883040935673</x:v>
      </x:c>
      <x:c r="L11" s="9" t="str">
        <x:v>validated_RTL_and_route</x:v>
      </x:c>
    </x:row>
    <x:row r="12" ht="50" customHeight="1">
      <x:c r="B12" s="12" t="str">
        <x:v>C4V4</x:v>
      </x:c>
      <x:c r="C12" s="18" t="n">
        <x:v>128</x:v>
      </x:c>
      <x:c r="D12" s="18" t="n">
        <x:f>IF('CV Matrix'!J12="","",'CV Matrix'!J12)</x:f>
        <x:v>163607</x:v>
      </x:c>
      <x:c r="E12" s="19" t="n">
        <x:f>IF('CV Matrix'!K12="","",'CV Matrix'!K12)</x:f>
        <x:v>13.838729868723778</x:v>
      </x:c>
      <x:c r="F12" s="18" t="n">
        <x:f>IF('CV Matrix'!L12="","",'CV Matrix'!L12)</x:f>
        <x:v>56001</x:v>
      </x:c>
      <x:c r="G12" s="19" t="n">
        <x:f>IF('CV Matrix'!M12="","",'CV Matrix'!M12)</x:f>
        <x:v>2.368427730410069</x:v>
      </x:c>
      <x:c r="H12" s="18" t="n">
        <x:f>IF('CV Matrix'!N12="","",'CV Matrix'!N12)</x:f>
        <x:v>693</x:v>
      </x:c>
      <x:c r="I12" s="19" t="n">
        <x:f>IF('CV Matrix'!O12="","",'CV Matrix'!O12)</x:f>
        <x:v>16.041666666666668</x:v>
      </x:c>
      <x:c r="J12" s="18" t="n">
        <x:f>IF('CV Matrix'!P12="","",'CV Matrix'!P12)</x:f>
        <x:v>1</x:v>
      </x:c>
      <x:c r="K12" s="19" t="n">
        <x:f>IF('CV Matrix'!Q12="","",'CV Matrix'!Q12)</x:f>
        <x:v>0.014619883040935673</x:v>
      </x:c>
      <x:c r="L12" s="12" t="str">
        <x:v>validated_RTL_and_route</x:v>
      </x:c>
    </x:row>
    <x:row r="13" ht="50" customHeight="1">
      <x:c r="B13" s="9" t="str">
        <x:v>C4V8</x:v>
      </x:c>
      <x:c r="C13" s="15" t="n">
        <x:v>128</x:v>
      </x:c>
      <x:c r="D13" s="15" t="n">
        <x:f>IF('CV Matrix'!J13="","",'CV Matrix'!J13)</x:f>
        <x:v>176779</x:v>
      </x:c>
      <x:c r="E13" s="17" t="n">
        <x:f>IF('CV Matrix'!K13="","",'CV Matrix'!K13)</x:f>
        <x:v>14.952886046826364</x:v>
      </x:c>
      <x:c r="F13" s="15" t="n">
        <x:f>IF('CV Matrix'!L13="","",'CV Matrix'!L13)</x:f>
        <x:v>58611</x:v>
      </x:c>
      <x:c r="G13" s="17" t="n">
        <x:f>IF('CV Matrix'!M13="","",'CV Matrix'!M13)</x:f>
        <x:v>2.4788114088509947</x:v>
      </x:c>
      <x:c r="H13" s="15" t="n">
        <x:f>IF('CV Matrix'!N13="","",'CV Matrix'!N13)</x:f>
        <x:v>701</x:v>
      </x:c>
      <x:c r="I13" s="17" t="n">
        <x:f>IF('CV Matrix'!O13="","",'CV Matrix'!O13)</x:f>
        <x:v>16.22685185185185</x:v>
      </x:c>
      <x:c r="J13" s="15" t="n">
        <x:f>IF('CV Matrix'!P13="","",'CV Matrix'!P13)</x:f>
        <x:v>1</x:v>
      </x:c>
      <x:c r="K13" s="17" t="n">
        <x:f>IF('CV Matrix'!Q13="","",'CV Matrix'!Q13)</x:f>
        <x:v>0.014619883040935673</x:v>
      </x:c>
      <x:c r="L13" s="9" t="str">
        <x:v>validated_RTL_and_route</x:v>
      </x:c>
    </x:row>
    <x:row r="23">
      <x:c r="B23" t="str">
        <x:v>Percentage = used resource / VCU118 XCVU9P capacity x 100. Values have no percent sign.</x:v>
      </x:c>
    </x:row>
    <x:row r="24">
      <x:c r="B24" t="str">
        <x:v>Capacities: LUT 1,182,240; FF 2,364,480; BRAM18 equivalent 4,320; DSP 6,840.</x:v>
      </x:c>
    </x:row>
    <x:row r="25">
      <x:c r="B25" t="str">
        <x:v>Blank means unavailable. Orange rows await HLS, routing, or an independent completion audit.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.6700000762939453" hidden="0" customWidth="1"/>
    <x:col min="2" max="2" width="28.32999992370605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.329999923706055" hidden="0" customWidth="1"/>
    <x:col min="8" max="8" width="14.4399995803833" hidden="0" customWidth="1"/>
    <x:col min="9" max="9" width="36.66999816894531" hidden="0" customWidth="1"/>
    <x:col min="10" max="10" width="13.329999923706055" hidden="0" customWidth="1"/>
    <x:col min="11" max="11" width="13.329999923706055" hidden="0" customWidth="1"/>
  </x:cols>
  <x:sheetData>
    <x:row r="2" ht="25" customHeight="1">
      <x:c r="B2" s="93" t="str">
        <x:v>RelayHLS BB144: best validated throughput</x:v>
      </x:c>
      <x:c r="C2" s="94"/>
      <x:c r="D2" s="94"/>
      <x:c r="E2" s="94"/>
      <x:c r="F2" s="94"/>
      <x:c r="G2" s="94"/>
      <x:c r="H2" s="94"/>
      <x:c r="I2" s="94"/>
      <x:c r="J2" s="94"/>
      <x:c r="K2" s="94"/>
    </x:row>
    <x:row r="3" ht="25" customHeight="1">
      <x:c r="B3" s="94"/>
      <x:c r="C3" s="94"/>
      <x:c r="D3" s="94"/>
      <x:c r="E3" s="94"/>
      <x:c r="F3" s="94"/>
      <x:c r="G3" s="94"/>
      <x:c r="H3" s="94"/>
      <x:c r="I3" s="94"/>
      <x:c r="J3" s="94"/>
      <x:c r="K3" s="94"/>
    </x:row>
    <x:row r="4" ht="48" customHeight="1">
      <x:c r="B4" s="103" t="str">
        <x:v>Point</x:v>
      </x:c>
      <x:c r="C4" s="103" t="str">
        <x:v>Banks</x:v>
      </x:c>
      <x:c r="D4" s="103" t="str">
        <x:v>CNU II</x:v>
      </x:c>
      <x:c r="E4" s="103" t="str">
        <x:v>VNU II</x:v>
      </x:c>
      <x:c r="F4" s="103" t="str">
        <x:v>Mean latency (µs)</x:v>
      </x:c>
      <x:c r="G4" s="103" t="str">
        <x:v>Service rate (decodings/s)</x:v>
      </x:c>
      <x:c r="H4" s="103" t="str">
        <x:v>LUT (%)</x:v>
      </x:c>
      <x:c r="I4" s="103" t="str">
        <x:v>FF (%)</x:v>
      </x:c>
      <x:c r="J4" s="103" t="str">
        <x:v>BRAM (%)</x:v>
      </x:c>
      <x:c r="K4" s="103" t="str">
        <x:v>DSP (%)</x:v>
      </x:c>
    </x:row>
    <x:row r="5" ht="32" customHeight="1">
      <x:c r="B5" s="94" t="str">
        <x:v>C4V8</x:v>
      </x:c>
      <x:c r="C5" s="96" t="n">
        <x:v>128</x:v>
      </x:c>
      <x:c r="D5" s="96" t="n">
        <x:v>1</x:v>
      </x:c>
      <x:c r="E5" s="96" t="n">
        <x:v>1</x:v>
      </x:c>
      <x:c r="F5" s="97" t="n">
        <x:f>C40</x:f>
        <x:v>1054.3875</x:v>
      </x:c>
      <x:c r="G5" s="97" t="n">
        <x:f>C39</x:f>
        <x:v>940.3784871736924</x:v>
      </x:c>
      <x:c r="H5" s="97" t="n">
        <x:f>C22/C26*100</x:f>
        <x:v>16.157971308702123</x:v>
      </x:c>
      <x:c r="I5" s="97" t="n">
        <x:f>C23/C27*100</x:f>
        <x:v>1.613631749898498</x:v>
      </x:c>
      <x:c r="J5" s="97" t="n">
        <x:f>C24/C28*100</x:f>
        <x:v>86.04166666666667</x:v>
      </x:c>
      <x:c r="K5" s="97" t="n">
        <x:f>C25/C29*100</x:f>
        <x:v>0.014619883040935673</x:v>
      </x:c>
    </x:row>
    <x:row r="6" ht="32" customHeight="1">
      <x:c r="B6" s="94"/>
      <x:c r="C6" s="96"/>
      <x:c r="D6" s="96"/>
      <x:c r="E6" s="96"/>
      <x:c r="F6" s="97"/>
      <x:c r="G6" s="97"/>
      <x:c r="H6" s="97"/>
      <x:c r="I6" s="97"/>
      <x:c r="J6" s="97"/>
      <x:c r="K6" s="97"/>
    </x:row>
    <x:row r="7" ht="32" customHeight="1">
      <x:c r="B7" s="94" t="str">
        <x:v>Only C4V8/b128 is included. Highest throughput among validated BB144 configurations.</x:v>
      </x:c>
      <x:c r="C7" s="96"/>
      <x:c r="D7" s="96"/>
      <x:c r="E7" s="96"/>
      <x:c r="F7" s="97"/>
      <x:c r="G7" s="97"/>
      <x:c r="H7" s="97"/>
      <x:c r="I7" s="97"/>
      <x:c r="J7" s="97"/>
      <x:c r="K7" s="97"/>
    </x:row>
    <x:row r="8" ht="32" customHeight="1">
      <x:c r="B8" s="94" t="str">
        <x:v>32 ordered inputs. RTL latency and service intervals at routed 100 MHz.</x:v>
      </x:c>
      <x:c r="C8" s="96"/>
      <x:c r="D8" s="96"/>
      <x:c r="E8" s="96"/>
      <x:c r="F8" s="97"/>
      <x:c r="G8" s="97"/>
      <x:c r="H8" s="97"/>
      <x:c r="I8" s="97"/>
      <x:c r="J8" s="97"/>
      <x:c r="K8" s="97"/>
    </x:row>
    <x:row r="9" ht="32" customHeight="1">
      <x:c r="B9" s="98"/>
      <x:c r="C9" s="99"/>
      <x:c r="D9" s="99"/>
      <x:c r="E9" s="99"/>
      <x:c r="F9" s="100"/>
      <x:c r="G9" s="100"/>
      <x:c r="H9" s="97"/>
      <x:c r="I9" s="97"/>
      <x:c r="J9" s="97"/>
      <x:c r="K9" s="97"/>
    </x:row>
    <x:row r="10" ht="25" customHeight="1">
      <x:c r="B10" s="94"/>
      <x:c r="C10" s="94"/>
      <x:c r="D10" s="94"/>
      <x:c r="E10" s="94"/>
      <x:c r="F10" s="94"/>
      <x:c r="G10" s="94"/>
      <x:c r="H10" s="94"/>
      <x:c r="I10" s="94"/>
      <x:c r="J10" s="94"/>
      <x:c r="K10" s="94"/>
    </x:row>
    <x:row r="11" ht="25" customHeight="1">
      <x:c r="B11" s="94"/>
      <x:c r="C11" s="94"/>
      <x:c r="D11" s="94"/>
      <x:c r="E11" s="94"/>
      <x:c r="F11" s="94"/>
      <x:c r="G11" s="94"/>
      <x:c r="H11" s="94"/>
      <x:c r="I11" s="94"/>
      <x:c r="J11" s="94"/>
      <x:c r="K11" s="94"/>
    </x:row>
    <x:row r="12" ht="48" customHeight="1">
      <x:c r="B12" s="103" t="str">
        <x:v>Metric</x:v>
      </x:c>
      <x:c r="C12" s="104" t="str">
        <x:v>C4V8</x:v>
      </x:c>
      <x:c r="D12" s="101"/>
      <x:c r="E12" s="101"/>
      <x:c r="F12" s="95"/>
      <x:c r="G12" s="95"/>
      <x:c r="H12" s="103" t="str">
        <x:v>Unit</x:v>
      </x:c>
      <x:c r="I12" s="103" t="str">
        <x:v>Basis</x:v>
      </x:c>
      <x:c r="J12" s="94"/>
      <x:c r="K12" s="94"/>
    </x:row>
    <x:row r="13" ht="25" customHeight="1">
      <x:c r="B13" s="94"/>
      <x:c r="C13" s="102"/>
      <x:c r="D13" s="102"/>
      <x:c r="E13" s="102"/>
      <x:c r="F13" s="94"/>
      <x:c r="G13" s="94"/>
      <x:c r="H13" s="94"/>
      <x:c r="I13" s="94"/>
      <x:c r="J13" s="94"/>
      <x:c r="K13" s="94"/>
    </x:row>
    <x:row r="14" ht="25" customHeight="1">
      <x:c r="B14" s="94"/>
      <x:c r="C14" s="102"/>
      <x:c r="D14" s="102"/>
      <x:c r="E14" s="102"/>
      <x:c r="F14" s="94"/>
      <x:c r="G14" s="94"/>
      <x:c r="H14" s="94"/>
      <x:c r="I14" s="94"/>
      <x:c r="J14" s="94"/>
      <x:c r="K14" s="94"/>
    </x:row>
    <x:row r="15" ht="25" customHeight="1">
      <x:c r="B15" s="105" t="str">
        <x:v>Clock</x:v>
      </x:c>
      <x:c r="C15" s="106" t="n">
        <x:v>100</x:v>
      </x:c>
      <x:c r="D15" s="102"/>
      <x:c r="E15" s="102"/>
      <x:c r="F15" s="102"/>
      <x:c r="G15" s="102"/>
      <x:c r="H15" s="105" t="str">
        <x:v>MHz</x:v>
      </x:c>
      <x:c r="I15" s="105" t="str">
        <x:v>10 ns period; 0.1 ns clock uncertainty</x:v>
      </x:c>
      <x:c r="J15" s="94"/>
      <x:c r="K15" s="94"/>
    </x:row>
    <x:row r="16" ht="25" customHeight="1">
      <x:c r="B16" s="94" t="str">
        <x:v>RTL latency cases</x:v>
      </x:c>
      <x:c r="C16" s="102" t="n">
        <x:v>32</x:v>
      </x:c>
      <x:c r="D16" s="102"/>
      <x:c r="E16" s="102"/>
      <x:c r="F16" s="102"/>
      <x:c r="G16" s="102"/>
      <x:c r="H16" s="94" t="str">
        <x:v>cases</x:v>
      </x:c>
      <x:c r="I16" s="94" t="str">
        <x:v>32 ordered inputs</x:v>
      </x:c>
      <x:c r="J16" s="94"/>
      <x:c r="K16" s="94"/>
    </x:row>
    <x:row r="17" ht="25" customHeight="1">
      <x:c r="B17" s="105" t="str">
        <x:v>RTL latency sum</x:v>
      </x:c>
      <x:c r="C17" s="106" t="n">
        <x:v>3374040</x:v>
      </x:c>
      <x:c r="D17" s="102"/>
      <x:c r="E17" s="102"/>
      <x:c r="F17" s="102"/>
      <x:c r="G17" s="102"/>
      <x:c r="H17" s="105" t="str">
        <x:v>cycles</x:v>
      </x:c>
      <x:c r="I17" s="105" t="str">
        <x:v>Sum over 32 cases</x:v>
      </x:c>
      <x:c r="J17" s="94"/>
      <x:c r="K17" s="94"/>
    </x:row>
    <x:row r="18" ht="25" customHeight="1">
      <x:c r="B18" s="94" t="str">
        <x:v>Minimum RTL latency</x:v>
      </x:c>
      <x:c r="C18" s="102" t="n">
        <x:v>70851</x:v>
      </x:c>
      <x:c r="D18" s="102"/>
      <x:c r="E18" s="102"/>
      <x:c r="F18" s="102"/>
      <x:c r="G18" s="102"/>
      <x:c r="H18" s="94" t="str">
        <x:v>cycles</x:v>
      </x:c>
      <x:c r="I18" s="94" t="str">
        <x:v>Observed RTL minimum</x:v>
      </x:c>
      <x:c r="J18" s="94"/>
      <x:c r="K18" s="94"/>
    </x:row>
    <x:row r="19" ht="25" customHeight="1">
      <x:c r="B19" s="105" t="str">
        <x:v>Maximum RTL latency</x:v>
      </x:c>
      <x:c r="C19" s="106" t="n">
        <x:v>112093</x:v>
      </x:c>
      <x:c r="D19" s="102"/>
      <x:c r="E19" s="102"/>
      <x:c r="F19" s="102"/>
      <x:c r="G19" s="102"/>
      <x:c r="H19" s="105" t="str">
        <x:v>cycles</x:v>
      </x:c>
      <x:c r="I19" s="105" t="str">
        <x:v>Observed RTL maximum</x:v>
      </x:c>
      <x:c r="J19" s="94"/>
      <x:c r="K19" s="94"/>
    </x:row>
    <x:row r="20" ht="25" customHeight="1">
      <x:c r="B20" s="94" t="str">
        <x:v>Service intervals</x:v>
      </x:c>
      <x:c r="C20" s="102" t="n">
        <x:v>31</x:v>
      </x:c>
      <x:c r="D20" s="102"/>
      <x:c r="E20" s="102"/>
      <x:c r="F20" s="102"/>
      <x:c r="G20" s="102"/>
      <x:c r="H20" s="94" t="str">
        <x:v>intervals</x:v>
      </x:c>
      <x:c r="I20" s="94" t="str">
        <x:v>Successive transaction starts</x:v>
      </x:c>
      <x:c r="J20" s="94"/>
      <x:c r="K20" s="94"/>
    </x:row>
    <x:row r="21" ht="25" customHeight="1">
      <x:c r="B21" s="105" t="str">
        <x:v>Service interval sum</x:v>
      </x:c>
      <x:c r="C21" s="106" t="n">
        <x:v>3296545</x:v>
      </x:c>
      <x:c r="D21" s="102"/>
      <x:c r="E21" s="102"/>
      <x:c r="F21" s="102"/>
      <x:c r="G21" s="102"/>
      <x:c r="H21" s="105" t="str">
        <x:v>cycles</x:v>
      </x:c>
      <x:c r="I21" s="105" t="str">
        <x:v>Sum over 31 intervals</x:v>
      </x:c>
      <x:c r="J21" s="94"/>
      <x:c r="K21" s="94"/>
    </x:row>
    <x:row r="22" ht="25" customHeight="1">
      <x:c r="B22" s="94" t="str">
        <x:v>LUT used</x:v>
      </x:c>
      <x:c r="C22" s="102" t="n">
        <x:v>191026</x:v>
      </x:c>
      <x:c r="D22" s="102"/>
      <x:c r="E22" s="102"/>
      <x:c r="F22" s="102"/>
      <x:c r="G22" s="102"/>
      <x:c r="H22" s="94" t="str">
        <x:v>LUT</x:v>
      </x:c>
      <x:c r="I22" s="94" t="str">
        <x:v>Routed utilization</x:v>
      </x:c>
      <x:c r="J22" s="94"/>
      <x:c r="K22" s="94"/>
    </x:row>
    <x:row r="23" ht="25" customHeight="1">
      <x:c r="B23" s="105" t="str">
        <x:v>FF used</x:v>
      </x:c>
      <x:c r="C23" s="106" t="n">
        <x:v>38154</x:v>
      </x:c>
      <x:c r="D23" s="102"/>
      <x:c r="E23" s="102"/>
      <x:c r="F23" s="102"/>
      <x:c r="G23" s="102"/>
      <x:c r="H23" s="105" t="str">
        <x:v>FF</x:v>
      </x:c>
      <x:c r="I23" s="105" t="str">
        <x:v>Routed utilization</x:v>
      </x:c>
      <x:c r="J23" s="94"/>
      <x:c r="K23" s="94"/>
    </x:row>
    <x:row r="24" ht="25" customHeight="1">
      <x:c r="B24" s="94" t="str">
        <x:v>BRAM18 equivalent used</x:v>
      </x:c>
      <x:c r="C24" s="102" t="n">
        <x:v>3717</x:v>
      </x:c>
      <x:c r="D24" s="102"/>
      <x:c r="E24" s="102"/>
      <x:c r="F24" s="102"/>
      <x:c r="G24" s="102"/>
      <x:c r="H24" s="94" t="str">
        <x:v>BRAM18</x:v>
      </x:c>
      <x:c r="I24" s="94" t="str">
        <x:v>Routed utilization</x:v>
      </x:c>
      <x:c r="J24" s="94"/>
      <x:c r="K24" s="94"/>
    </x:row>
    <x:row r="25" ht="25" customHeight="1">
      <x:c r="B25" s="105" t="str">
        <x:v>DSP used</x:v>
      </x:c>
      <x:c r="C25" s="106" t="n">
        <x:v>1</x:v>
      </x:c>
      <x:c r="D25" s="102"/>
      <x:c r="E25" s="102"/>
      <x:c r="F25" s="102"/>
      <x:c r="G25" s="102"/>
      <x:c r="H25" s="105" t="str">
        <x:v>DSP</x:v>
      </x:c>
      <x:c r="I25" s="105" t="str">
        <x:v>Routed utilization</x:v>
      </x:c>
      <x:c r="J25" s="94"/>
      <x:c r="K25" s="94"/>
    </x:row>
    <x:row r="26" ht="25" customHeight="1">
      <x:c r="B26" s="94" t="str">
        <x:v>VCU118 LUT capacity</x:v>
      </x:c>
      <x:c r="C26" s="102" t="n">
        <x:v>1182240</x:v>
      </x:c>
      <x:c r="D26" s="102"/>
      <x:c r="E26" s="102"/>
      <x:c r="F26" s="102"/>
      <x:c r="G26" s="102"/>
      <x:c r="H26" s="94" t="str">
        <x:v>LUT</x:v>
      </x:c>
      <x:c r="I26" s="94" t="str">
        <x:v>VU9P device</x:v>
      </x:c>
      <x:c r="J26" s="94"/>
      <x:c r="K26" s="94"/>
    </x:row>
    <x:row r="27" ht="25" customHeight="1">
      <x:c r="B27" s="105" t="str">
        <x:v>VCU118 FF capacity</x:v>
      </x:c>
      <x:c r="C27" s="106" t="n">
        <x:v>2364480</x:v>
      </x:c>
      <x:c r="D27" s="102"/>
      <x:c r="E27" s="102"/>
      <x:c r="F27" s="102"/>
      <x:c r="G27" s="102"/>
      <x:c r="H27" s="105" t="str">
        <x:v>FF</x:v>
      </x:c>
      <x:c r="I27" s="105" t="str">
        <x:v>VU9P device</x:v>
      </x:c>
      <x:c r="J27" s="94"/>
      <x:c r="K27" s="94"/>
    </x:row>
    <x:row r="28" ht="25" customHeight="1">
      <x:c r="B28" s="94" t="str">
        <x:v>VCU118 BRAM18 capacity</x:v>
      </x:c>
      <x:c r="C28" s="102" t="n">
        <x:v>4320</x:v>
      </x:c>
      <x:c r="D28" s="102"/>
      <x:c r="E28" s="102"/>
      <x:c r="F28" s="102"/>
      <x:c r="G28" s="102"/>
      <x:c r="H28" s="94" t="str">
        <x:v>BRAM18</x:v>
      </x:c>
      <x:c r="I28" s="94" t="str">
        <x:v>VU9P device</x:v>
      </x:c>
      <x:c r="J28" s="94"/>
      <x:c r="K28" s="94"/>
    </x:row>
    <x:row r="29" ht="25" customHeight="1">
      <x:c r="B29" s="105" t="str">
        <x:v>VCU118 DSP capacity</x:v>
      </x:c>
      <x:c r="C29" s="106" t="n">
        <x:v>6840</x:v>
      </x:c>
      <x:c r="D29" s="102"/>
      <x:c r="E29" s="102"/>
      <x:c r="F29" s="102"/>
      <x:c r="G29" s="102"/>
      <x:c r="H29" s="105" t="str">
        <x:v>DSP</x:v>
      </x:c>
      <x:c r="I29" s="105" t="str">
        <x:v>VU9P device</x:v>
      </x:c>
      <x:c r="J29" s="94"/>
      <x:c r="K29" s="94"/>
    </x:row>
    <x:row r="30" ht="25" customHeight="1">
      <x:c r="B30" s="94" t="str">
        <x:v>Total on-chip power estimate</x:v>
      </x:c>
      <x:c r="C30" s="97" t="n">
        <x:v>7.012</x:v>
      </x:c>
      <x:c r="D30" s="97"/>
      <x:c r="E30" s="97"/>
      <x:c r="F30" s="97"/>
      <x:c r="G30" s="97"/>
      <x:c r="H30" s="94" t="str">
        <x:v>W</x:v>
      </x:c>
      <x:c r="I30" s="94" t="str">
        <x:v>Post-route vectorless estimate</x:v>
      </x:c>
      <x:c r="J30" s="94"/>
      <x:c r="K30" s="94"/>
    </x:row>
    <x:row r="31" ht="25" customHeight="1">
      <x:c r="B31" s="105" t="str">
        <x:v>Dynamic power estimate</x:v>
      </x:c>
      <x:c r="C31" s="107" t="n">
        <x:v>4.472</x:v>
      </x:c>
      <x:c r="D31" s="97"/>
      <x:c r="E31" s="97"/>
      <x:c r="F31" s="97"/>
      <x:c r="G31" s="97"/>
      <x:c r="H31" s="105" t="str">
        <x:v>W</x:v>
      </x:c>
      <x:c r="I31" s="105" t="str">
        <x:v>Post-route vectorless estimate</x:v>
      </x:c>
      <x:c r="J31" s="94"/>
      <x:c r="K31" s="94"/>
    </x:row>
    <x:row r="32" ht="25" customHeight="1">
      <x:c r="B32" s="94" t="str">
        <x:v>Static power estimate</x:v>
      </x:c>
      <x:c r="C32" s="97" t="n">
        <x:v>2.54</x:v>
      </x:c>
      <x:c r="D32" s="97"/>
      <x:c r="E32" s="97"/>
      <x:c r="F32" s="97"/>
      <x:c r="G32" s="97"/>
      <x:c r="H32" s="94" t="str">
        <x:v>W</x:v>
      </x:c>
      <x:c r="I32" s="94" t="str">
        <x:v>Post-route vectorless estimate</x:v>
      </x:c>
      <x:c r="J32" s="94"/>
      <x:c r="K32" s="94"/>
    </x:row>
    <x:row r="33" ht="25" customHeight="1">
      <x:c r="B33" s="105" t="str">
        <x:v>Power estimate confidence</x:v>
      </x:c>
      <x:c r="C33" s="107" t="str">
        <x:v>Medium</x:v>
      </x:c>
      <x:c r="D33" s="97"/>
      <x:c r="E33" s="97"/>
      <x:c r="F33" s="97"/>
      <x:c r="G33" s="97"/>
      <x:c r="H33" s="105"/>
      <x:c r="I33" s="105" t="str">
        <x:v>Vivado reported confidence</x:v>
      </x:c>
      <x:c r="J33" s="94"/>
      <x:c r="K33" s="94"/>
    </x:row>
    <x:row r="34" ht="25" customHeight="1">
      <x:c r="B34" s="94" t="str">
        <x:v>Setup slack</x:v>
      </x:c>
      <x:c r="C34" s="97" t="n">
        <x:v>0.208</x:v>
      </x:c>
      <x:c r="D34" s="97"/>
      <x:c r="E34" s="97"/>
      <x:c r="F34" s="97"/>
      <x:c r="G34" s="97"/>
      <x:c r="H34" s="94" t="str">
        <x:v>ns</x:v>
      </x:c>
      <x:c r="I34" s="94" t="str">
        <x:v>Routed timing</x:v>
      </x:c>
      <x:c r="J34" s="94"/>
      <x:c r="K34" s="94"/>
    </x:row>
    <x:row r="35" ht="25" customHeight="1">
      <x:c r="B35" s="105" t="str">
        <x:v>Hold slack</x:v>
      </x:c>
      <x:c r="C35" s="107" t="n">
        <x:v>0.01</x:v>
      </x:c>
      <x:c r="D35" s="97"/>
      <x:c r="E35" s="97"/>
      <x:c r="F35" s="97"/>
      <x:c r="G35" s="97"/>
      <x:c r="H35" s="105" t="str">
        <x:v>ns</x:v>
      </x:c>
      <x:c r="I35" s="105" t="str">
        <x:v>Routed timing</x:v>
      </x:c>
      <x:c r="J35" s="94"/>
      <x:c r="K35" s="94"/>
    </x:row>
    <x:row r="36" ht="25" customHeight="1">
      <x:c r="B36" s="94" t="str">
        <x:v>Pulse slack</x:v>
      </x:c>
      <x:c r="C36" s="97" t="n">
        <x:v>4.458</x:v>
      </x:c>
      <x:c r="D36" s="97"/>
      <x:c r="E36" s="97"/>
      <x:c r="F36" s="97"/>
      <x:c r="G36" s="97"/>
      <x:c r="H36" s="94" t="str">
        <x:v>ns</x:v>
      </x:c>
      <x:c r="I36" s="94" t="str">
        <x:v>Routed timing</x:v>
      </x:c>
      <x:c r="J36" s="94"/>
      <x:c r="K36" s="94"/>
    </x:row>
    <x:row r="37" ht="25" customHeight="1">
      <x:c r="B37" s="105" t="str">
        <x:v>Energy per decoding estimate</x:v>
      </x:c>
      <x:c r="C37" s="107" t="n">
        <x:f>C30/C39*1000000</x:f>
        <x:v>7456.572109677419</x:v>
      </x:c>
      <x:c r="D37" s="97"/>
      <x:c r="E37" s="97"/>
      <x:c r="F37" s="97"/>
      <x:c r="G37" s="97"/>
      <x:c r="H37" s="105" t="str">
        <x:v>µJ/decoding</x:v>
      </x:c>
      <x:c r="I37" s="105" t="str">
        <x:v>On-chip power divided by service rate</x:v>
      </x:c>
      <x:c r="J37" s="94"/>
      <x:c r="K37" s="94"/>
    </x:row>
    <x:row r="38" ht="25" customHeight="1">
      <x:c r="B38" s="94" t="str">
        <x:v>Energy efficiency estimate</x:v>
      </x:c>
      <x:c r="C38" s="97" t="n">
        <x:f>C39/C30</x:f>
        <x:v>134.10988122842164</x:v>
      </x:c>
      <x:c r="D38" s="97"/>
      <x:c r="E38" s="97"/>
      <x:c r="F38" s="97"/>
      <x:c r="G38" s="97"/>
      <x:c r="H38" s="94" t="str">
        <x:v>decodings/J</x:v>
      </x:c>
      <x:c r="I38" s="94" t="str">
        <x:v>Service rate divided by on-chip power</x:v>
      </x:c>
      <x:c r="J38" s="94"/>
      <x:c r="K38" s="94"/>
    </x:row>
    <x:row r="39" ht="25" customHeight="1">
      <x:c r="B39" s="105" t="str">
        <x:v>Service rate</x:v>
      </x:c>
      <x:c r="C39" s="107" t="n">
        <x:f>C20*C15*1000000/C21</x:f>
        <x:v>940.3784871736924</x:v>
      </x:c>
      <x:c r="D39" s="97"/>
      <x:c r="E39" s="97"/>
      <x:c r="F39" s="97"/>
      <x:c r="G39" s="97"/>
      <x:c r="H39" s="105" t="str">
        <x:v>decodings/s</x:v>
      </x:c>
      <x:c r="I39" s="105" t="str">
        <x:v>31 start-to-start intervals</x:v>
      </x:c>
      <x:c r="J39" s="94"/>
      <x:c r="K39" s="94"/>
    </x:row>
    <x:row r="40" ht="25" customHeight="1">
      <x:c r="B40" s="94" t="str">
        <x:v>Mean RTL latency</x:v>
      </x:c>
      <x:c r="C40" s="97" t="n">
        <x:f>C17/C16/C15</x:f>
        <x:v>1054.3875</x:v>
      </x:c>
      <x:c r="D40" s="97"/>
      <x:c r="E40" s="97"/>
      <x:c r="F40" s="97"/>
      <x:c r="G40" s="97"/>
      <x:c r="H40" s="94" t="str">
        <x:v>µs</x:v>
      </x:c>
      <x:c r="I40" s="94" t="str">
        <x:v>32 RTL transaction latencies</x:v>
      </x:c>
      <x:c r="J40" s="94"/>
      <x:c r="K40" s="94"/>
    </x:row>
    <x:row r="41" ht="25" customHeight="1">
      <x:c r="B41" s="105" t="str">
        <x:v>Mean RTL latency</x:v>
      </x:c>
      <x:c r="C41" s="107" t="n">
        <x:f>C17/C16</x:f>
        <x:v>105438.75</x:v>
      </x:c>
      <x:c r="D41" s="97"/>
      <x:c r="E41" s="97"/>
      <x:c r="F41" s="97"/>
      <x:c r="G41" s="97"/>
      <x:c r="H41" s="105" t="str">
        <x:v>cycles</x:v>
      </x:c>
      <x:c r="I41" s="105" t="str">
        <x:v>32 RTL transaction latencies</x:v>
      </x:c>
      <x:c r="J41" s="94"/>
      <x:c r="K41" s="94"/>
    </x:row>
    <x:row r="42" ht="25" customHeight="1">
      <x:c r="B42" s="94" t="str">
        <x:v>Minimum RTL latency</x:v>
      </x:c>
      <x:c r="C42" s="97" t="n">
        <x:f>C18/C15</x:f>
        <x:v>708.51</x:v>
      </x:c>
      <x:c r="D42" s="97"/>
      <x:c r="E42" s="97"/>
      <x:c r="F42" s="97"/>
      <x:c r="G42" s="97"/>
      <x:c r="H42" s="94" t="str">
        <x:v>µs</x:v>
      </x:c>
      <x:c r="I42" s="94" t="str">
        <x:v>Observed RTL minimum</x:v>
      </x:c>
      <x:c r="J42" s="94"/>
      <x:c r="K42" s="94"/>
    </x:row>
    <x:row r="43" ht="25" customHeight="1">
      <x:c r="B43" s="105" t="str">
        <x:v>Maximum RTL latency</x:v>
      </x:c>
      <x:c r="C43" s="107" t="n">
        <x:f>C19/C15</x:f>
        <x:v>1120.93</x:v>
      </x:c>
      <x:c r="D43" s="97"/>
      <x:c r="E43" s="97"/>
      <x:c r="F43" s="97"/>
      <x:c r="G43" s="97"/>
      <x:c r="H43" s="105" t="str">
        <x:v>µs</x:v>
      </x:c>
      <x:c r="I43" s="105" t="str">
        <x:v>Observed RTL maximum</x:v>
      </x:c>
      <x:c r="J43" s="94"/>
      <x:c r="K43" s="94"/>
    </x:row>
    <x:row r="44" ht="25" customHeight="1">
      <x:c r="B44" s="94"/>
      <x:c r="C44" s="94"/>
      <x:c r="D44" s="94"/>
      <x:c r="E44" s="94"/>
      <x:c r="F44" s="94"/>
      <x:c r="G44" s="94"/>
      <x:c r="H44" s="94"/>
      <x:c r="I44" s="94"/>
      <x:c r="J44" s="94"/>
      <x:c r="K44" s="94"/>
    </x:row>
    <x:row r="45" ht="25" customHeight="1">
      <x:c r="B45" s="94" t="str">
        <x:v>Power and energy: vectorless on-chip estimates. No measured board power or matched BB144 CPU/GPU comparison.</x:v>
      </x:c>
      <x:c r="C45" s="94"/>
      <x:c r="D45" s="94"/>
      <x:c r="E45" s="94"/>
      <x:c r="F45" s="94"/>
      <x:c r="G45" s="94"/>
      <x:c r="H45" s="94"/>
      <x:c r="I45" s="94"/>
      <x:c r="J45" s="94"/>
      <x:c r="K45" s="94"/>
    </x:row>
    <x:row r="46" ht="25" customHeight="1">
      <x:c r="B46" s="94"/>
      <x:c r="C46" s="94"/>
      <x:c r="D46" s="94"/>
      <x:c r="E46" s="94"/>
      <x:c r="F46" s="94"/>
      <x:c r="G46" s="94"/>
      <x:c r="H46" s="94"/>
      <x:c r="I46" s="94"/>
      <x:c r="J46" s="94"/>
      <x:c r="K46" s="94"/>
    </x:row>
    <x:row r="47" ht="25" customHeight="1">
      <x:c r="B47" s="94" t="str">
        <x:v>Source: data/bb144/validation/c4v8.json</x:v>
      </x:c>
      <x:c r="C47" s="94"/>
      <x:c r="D47" s="94"/>
      <x:c r="E47" s="94"/>
      <x:c r="F47" s="94"/>
      <x:c r="G47" s="94"/>
      <x:c r="H47" s="94"/>
      <x:c r="I47" s="94"/>
      <x:c r="J47" s="94"/>
      <x:c r="K47" s="94"/>
    </x:row>
    <x:row r="48" ht="25" customHeight="1">
      <x:c r="B48" s="94" t="str">
        <x:v>Controller SHA-256: d50ba13df7214d88c736e9c8c823314aa7c590808e7bc52f9fe92bdaeb61fa69</x:v>
      </x:c>
      <x:c r="C48" s="94"/>
      <x:c r="D48" s="94"/>
      <x:c r="E48" s="94"/>
      <x:c r="F48" s="94"/>
      <x:c r="G48" s="94"/>
      <x:c r="H48" s="94"/>
      <x:c r="I48" s="94"/>
      <x:c r="J48" s="94"/>
      <x:c r="K48" s="94"/>
    </x:row>
    <x:row r="49" ht="25" customHeight="1"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</x:row>
    <x:row r="50" ht="25" customHeight="1"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</x:row>
    <x:row r="51" ht="25" customHeight="1"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</x:row>
    <x:row r="52" ht="25" customHeight="1"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</x:row>
    <x:row r="53" ht="25" customHeight="1">
      <x:c r="B53" s="94"/>
      <x:c r="C53" s="94"/>
      <x:c r="D53" s="94"/>
      <x:c r="E53" s="94"/>
      <x:c r="F53" s="94"/>
      <x:c r="G53" s="94"/>
      <x:c r="H53" s="94"/>
      <x:c r="I53" s="94"/>
      <x:c r="J53" s="94"/>
      <x:c r="K53" s="94"/>
    </x:row>
  </x:sheetData>
  <x:pageMargins left="0.7" right="0.7" top="0.75" bottom="0.75" header="0.3" footer="0.3"/>
</x:worksheet>
</file>